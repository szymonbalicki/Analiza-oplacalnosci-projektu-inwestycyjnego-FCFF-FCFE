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0" documentId="8_{71B8CF2A-9CD2-4A16-8CCC-41AB52FDE275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P1 FCFF" sheetId="1" r:id="rId1"/>
    <sheet name="P1 FCF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3" i="2" l="1"/>
  <c r="C62" i="2"/>
  <c r="C103" i="1"/>
  <c r="D93" i="1"/>
  <c r="E93" i="1"/>
  <c r="F93" i="1"/>
  <c r="G93" i="1"/>
  <c r="H93" i="1"/>
  <c r="I93" i="1"/>
  <c r="J93" i="1"/>
  <c r="K93" i="1"/>
  <c r="L93" i="1"/>
  <c r="M93" i="1"/>
  <c r="C93" i="1"/>
  <c r="C94" i="1" s="1"/>
  <c r="D89" i="1"/>
  <c r="D90" i="1" s="1"/>
  <c r="E89" i="1"/>
  <c r="E90" i="1" s="1"/>
  <c r="F89" i="1"/>
  <c r="F90" i="1" s="1"/>
  <c r="G89" i="1"/>
  <c r="G90" i="1" s="1"/>
  <c r="H89" i="1"/>
  <c r="H90" i="1" s="1"/>
  <c r="I89" i="1"/>
  <c r="I90" i="1" s="1"/>
  <c r="J89" i="1"/>
  <c r="J90" i="1" s="1"/>
  <c r="K89" i="1"/>
  <c r="K90" i="1" s="1"/>
  <c r="L89" i="1"/>
  <c r="L90" i="1" s="1"/>
  <c r="M89" i="1"/>
  <c r="C89" i="1"/>
  <c r="C90" i="1" s="1"/>
  <c r="M74" i="1"/>
  <c r="M88" i="1" s="1"/>
  <c r="M90" i="1" s="1"/>
  <c r="C91" i="1" s="1"/>
  <c r="C74" i="2"/>
  <c r="M59" i="2"/>
  <c r="M60" i="2" s="1"/>
  <c r="L59" i="2"/>
  <c r="L60" i="2" s="1"/>
  <c r="K59" i="2"/>
  <c r="K60" i="2" s="1"/>
  <c r="J59" i="2"/>
  <c r="J60" i="2" s="1"/>
  <c r="I59" i="2"/>
  <c r="I60" i="2" s="1"/>
  <c r="H59" i="2"/>
  <c r="H60" i="2" s="1"/>
  <c r="G59" i="2"/>
  <c r="G60" i="2" s="1"/>
  <c r="F59" i="2"/>
  <c r="F60" i="2" s="1"/>
  <c r="E59" i="2"/>
  <c r="E60" i="2" s="1"/>
  <c r="D59" i="2"/>
  <c r="D60" i="2" s="1"/>
  <c r="C59" i="2"/>
  <c r="C60" i="2" s="1"/>
  <c r="C61" i="2" s="1"/>
  <c r="D37" i="2"/>
  <c r="D38" i="2" s="1"/>
  <c r="D39" i="2" s="1"/>
  <c r="D40" i="2" s="1"/>
  <c r="D41" i="2" s="1"/>
  <c r="D42" i="2" s="1"/>
  <c r="D43" i="2" s="1"/>
  <c r="C24" i="2"/>
  <c r="C19" i="2"/>
  <c r="B19" i="2"/>
  <c r="D16" i="2"/>
  <c r="L15" i="2"/>
  <c r="L16" i="2" s="1"/>
  <c r="K15" i="2"/>
  <c r="K16" i="2" s="1"/>
  <c r="J15" i="2"/>
  <c r="J16" i="2" s="1"/>
  <c r="B4" i="2"/>
  <c r="M94" i="1"/>
  <c r="L94" i="1"/>
  <c r="K94" i="1"/>
  <c r="J94" i="1"/>
  <c r="I94" i="1"/>
  <c r="H94" i="1"/>
  <c r="G94" i="1"/>
  <c r="F94" i="1"/>
  <c r="E94" i="1"/>
  <c r="D94" i="1"/>
  <c r="C95" i="1" s="1"/>
  <c r="C84" i="1"/>
  <c r="D54" i="1"/>
  <c r="D55" i="1" s="1"/>
  <c r="D56" i="1" s="1"/>
  <c r="D57" i="1" s="1"/>
  <c r="D58" i="1" s="1"/>
  <c r="D59" i="1" s="1"/>
  <c r="C47" i="1"/>
  <c r="D47" i="1" s="1"/>
  <c r="E46" i="1"/>
  <c r="D46" i="1"/>
  <c r="F46" i="1" s="1"/>
  <c r="E45" i="1"/>
  <c r="D45" i="1"/>
  <c r="F45" i="1" s="1"/>
  <c r="F47" i="1" s="1"/>
  <c r="D36" i="1"/>
  <c r="E36" i="1" s="1"/>
  <c r="C37" i="1" s="1"/>
  <c r="F30" i="1"/>
  <c r="E30" i="1"/>
  <c r="D30" i="1"/>
  <c r="C30" i="1"/>
  <c r="B30" i="1"/>
  <c r="J29" i="1"/>
  <c r="I29" i="1"/>
  <c r="H29" i="1"/>
  <c r="G29" i="1"/>
  <c r="F29" i="1"/>
  <c r="E29" i="1"/>
  <c r="D29" i="1"/>
  <c r="C29" i="1"/>
  <c r="B29" i="1"/>
  <c r="J28" i="1"/>
  <c r="I28" i="1"/>
  <c r="H28" i="1"/>
  <c r="G28" i="1"/>
  <c r="F28" i="1"/>
  <c r="E28" i="1"/>
  <c r="D28" i="1"/>
  <c r="C28" i="1"/>
  <c r="F23" i="1"/>
  <c r="L13" i="1"/>
  <c r="K13" i="1"/>
  <c r="J13" i="1"/>
  <c r="I13" i="1"/>
  <c r="H13" i="1"/>
  <c r="G13" i="1"/>
  <c r="F13" i="1"/>
  <c r="E13" i="1"/>
  <c r="L11" i="1"/>
  <c r="K11" i="1"/>
  <c r="J11" i="1"/>
  <c r="I11" i="1"/>
  <c r="H11" i="1"/>
  <c r="G11" i="1"/>
  <c r="F11" i="1"/>
  <c r="E11" i="1"/>
  <c r="D11" i="1"/>
  <c r="L10" i="1"/>
  <c r="L14" i="1" s="1"/>
  <c r="K10" i="1"/>
  <c r="K14" i="1" s="1"/>
  <c r="J10" i="1"/>
  <c r="J14" i="1" s="1"/>
  <c r="I10" i="1"/>
  <c r="I14" i="1" s="1"/>
  <c r="H10" i="1"/>
  <c r="H14" i="1" s="1"/>
  <c r="G10" i="1"/>
  <c r="G14" i="1" s="1"/>
  <c r="F10" i="1"/>
  <c r="F14" i="1" s="1"/>
  <c r="E10" i="1"/>
  <c r="E14" i="1" s="1"/>
  <c r="D10" i="1"/>
  <c r="D14" i="1" s="1"/>
  <c r="C4" i="1"/>
  <c r="C3" i="1"/>
  <c r="C17" i="1" s="1"/>
  <c r="B3" i="1"/>
  <c r="B17" i="1" s="1"/>
  <c r="C98" i="1" l="1"/>
  <c r="D15" i="1"/>
  <c r="D16" i="1" s="1"/>
  <c r="E15" i="1"/>
  <c r="E16" i="1" s="1"/>
  <c r="E9" i="1" s="1"/>
  <c r="E17" i="1" s="1"/>
  <c r="F15" i="1"/>
  <c r="F16" i="1" s="1"/>
  <c r="F9" i="1" s="1"/>
  <c r="F17" i="1" s="1"/>
  <c r="G15" i="1"/>
  <c r="G16" i="1" s="1"/>
  <c r="G9" i="1" s="1"/>
  <c r="G17" i="1" s="1"/>
  <c r="H15" i="1"/>
  <c r="H16" i="1" s="1"/>
  <c r="H9" i="1" s="1"/>
  <c r="H17" i="1" s="1"/>
  <c r="I15" i="1"/>
  <c r="I16" i="1" s="1"/>
  <c r="I9" i="1" s="1"/>
  <c r="I17" i="1" s="1"/>
  <c r="J15" i="1"/>
  <c r="J16" i="1" s="1"/>
  <c r="J9" i="1" s="1"/>
  <c r="J17" i="1" s="1"/>
  <c r="K15" i="1"/>
  <c r="K16" i="1" s="1"/>
  <c r="K9" i="1" s="1"/>
  <c r="K17" i="1" s="1"/>
  <c r="L15" i="1"/>
  <c r="L16" i="1" s="1"/>
  <c r="L9" i="1" s="1"/>
  <c r="L17" i="1" s="1"/>
  <c r="D38" i="1"/>
  <c r="D39" i="1" s="1"/>
  <c r="D40" i="1" s="1"/>
  <c r="B31" i="1"/>
  <c r="B28" i="1" s="1"/>
  <c r="D13" i="1" s="1"/>
  <c r="D37" i="1"/>
  <c r="E37" i="1" s="1"/>
  <c r="C38" i="1" s="1"/>
  <c r="E38" i="1" s="1"/>
  <c r="C39" i="1" s="1"/>
  <c r="E39" i="1" s="1"/>
  <c r="C40" i="1" s="1"/>
  <c r="E40" i="1" s="1"/>
  <c r="C104" i="1"/>
  <c r="C78" i="1" a="1"/>
  <c r="C78" i="1" s="1"/>
  <c r="M75" i="1"/>
  <c r="M76" i="1" s="1"/>
  <c r="L75" i="1"/>
  <c r="L76" i="1" s="1"/>
  <c r="K75" i="1"/>
  <c r="K76" i="1" s="1"/>
  <c r="J75" i="1"/>
  <c r="J76" i="1" s="1"/>
  <c r="I75" i="1"/>
  <c r="I76" i="1" s="1"/>
  <c r="H75" i="1"/>
  <c r="H76" i="1" s="1"/>
  <c r="G75" i="1"/>
  <c r="G76" i="1" s="1"/>
  <c r="F75" i="1"/>
  <c r="F76" i="1" s="1"/>
  <c r="E75" i="1"/>
  <c r="E76" i="1" s="1"/>
  <c r="D75" i="1"/>
  <c r="D76" i="1" s="1"/>
  <c r="C75" i="1"/>
  <c r="C76" i="1" s="1"/>
  <c r="C77" i="1" s="1"/>
  <c r="C68" i="1"/>
  <c r="D60" i="1"/>
  <c r="D61" i="1" s="1"/>
  <c r="D62" i="1" s="1"/>
  <c r="D63" i="1" s="1"/>
  <c r="D64" i="1" s="1"/>
  <c r="J17" i="2"/>
  <c r="J18" i="2" s="1"/>
  <c r="J9" i="2" s="1"/>
  <c r="J19" i="2" s="1"/>
  <c r="K17" i="2"/>
  <c r="K18" i="2" s="1"/>
  <c r="K9" i="2" s="1"/>
  <c r="K19" i="2" s="1"/>
  <c r="L17" i="2"/>
  <c r="L18" i="2" s="1"/>
  <c r="L9" i="2" s="1"/>
  <c r="L19" i="2" s="1"/>
  <c r="D17" i="2"/>
  <c r="D18" i="2" s="1"/>
  <c r="D9" i="2" s="1"/>
  <c r="D19" i="2" s="1"/>
  <c r="C27" i="2"/>
  <c r="E15" i="2" s="1"/>
  <c r="E16" i="2" s="1"/>
  <c r="G26" i="2"/>
  <c r="F26" i="2"/>
  <c r="E26" i="2"/>
  <c r="D26" i="2"/>
  <c r="C26" i="2"/>
  <c r="C53" i="2"/>
  <c r="D44" i="2"/>
  <c r="D45" i="2" s="1"/>
  <c r="D46" i="2" s="1"/>
  <c r="D47" i="2" s="1"/>
  <c r="B79" i="2"/>
  <c r="C25" i="2" l="1"/>
  <c r="E7" i="2"/>
  <c r="C28" i="2"/>
  <c r="D24" i="2" s="1"/>
  <c r="F7" i="2"/>
  <c r="G7" i="2"/>
  <c r="H7" i="2"/>
  <c r="I7" i="2"/>
  <c r="E17" i="2"/>
  <c r="E18" i="2" s="1"/>
  <c r="E9" i="2" s="1"/>
  <c r="E19" i="2" s="1"/>
  <c r="B109" i="1"/>
  <c r="D41" i="1"/>
  <c r="C41" i="1"/>
  <c r="D9" i="1"/>
  <c r="D17" i="1" s="1"/>
  <c r="D28" i="2" l="1"/>
  <c r="E24" i="2" s="1"/>
  <c r="D27" i="2"/>
  <c r="F15" i="2" l="1"/>
  <c r="F16" i="2" s="1"/>
  <c r="D25" i="2"/>
  <c r="E28" i="2"/>
  <c r="F24" i="2" s="1"/>
  <c r="E27" i="2"/>
  <c r="G15" i="2" l="1"/>
  <c r="G16" i="2" s="1"/>
  <c r="E25" i="2"/>
  <c r="F28" i="2"/>
  <c r="G24" i="2" s="1"/>
  <c r="F27" i="2"/>
  <c r="F17" i="2"/>
  <c r="F18" i="2" s="1"/>
  <c r="F9" i="2" s="1"/>
  <c r="F19" i="2" s="1"/>
  <c r="H15" i="2" l="1"/>
  <c r="H16" i="2" s="1"/>
  <c r="F25" i="2"/>
  <c r="G28" i="2"/>
  <c r="G27" i="2"/>
  <c r="G17" i="2"/>
  <c r="G18" i="2" s="1"/>
  <c r="G9" i="2" s="1"/>
  <c r="G19" i="2" s="1"/>
  <c r="I15" i="2" l="1"/>
  <c r="I16" i="2" s="1"/>
  <c r="G25" i="2"/>
  <c r="H17" i="2"/>
  <c r="H18" i="2" s="1"/>
  <c r="H9" i="2" s="1"/>
  <c r="H19" i="2" s="1"/>
  <c r="I17" i="2" l="1"/>
  <c r="I18" i="2" s="1"/>
  <c r="I9" i="2" s="1"/>
  <c r="I19" i="2" s="1"/>
</calcChain>
</file>

<file path=xl/sharedStrings.xml><?xml version="1.0" encoding="utf-8"?>
<sst xmlns="http://schemas.openxmlformats.org/spreadsheetml/2006/main" count="146" uniqueCount="104">
  <si>
    <t>Kalkulacja standardowa FCFF (free cash to firm)</t>
  </si>
  <si>
    <t>Faza inwestycyjna</t>
  </si>
  <si>
    <t>Faza operacyjna</t>
  </si>
  <si>
    <t>Przepływy inwestycyjne</t>
  </si>
  <si>
    <t>I. Nakłady inwestycyjne ogółem</t>
  </si>
  <si>
    <t>1. Przedinwestycyjne nakłady kapitałowe</t>
  </si>
  <si>
    <t>2. Nakłady inwestycyjne w majątek trwały</t>
  </si>
  <si>
    <t>3. Zapotrzebowanie na kapitał obrotowy</t>
  </si>
  <si>
    <t>II. Wartość rezydualna</t>
  </si>
  <si>
    <t>Przepływy operacyjne (Zn+A)</t>
  </si>
  <si>
    <t>1. Przychody ze sprzedaży</t>
  </si>
  <si>
    <t>2. Koszty zmienne</t>
  </si>
  <si>
    <t>3. Koszty stałe</t>
  </si>
  <si>
    <t>w tym amortyzacja</t>
  </si>
  <si>
    <t>4. Zysk operacyjny / Zysk brutto</t>
  </si>
  <si>
    <t>5. Podatek</t>
  </si>
  <si>
    <t>6. Zysk netto</t>
  </si>
  <si>
    <t>CF</t>
  </si>
  <si>
    <t>Amortyzacja</t>
  </si>
  <si>
    <t>Wartość środków</t>
  </si>
  <si>
    <t>Metoda A</t>
  </si>
  <si>
    <t>Stawka</t>
  </si>
  <si>
    <t>Współczynnik</t>
  </si>
  <si>
    <t>[odpis m. liniową]</t>
  </si>
  <si>
    <t>Budynki</t>
  </si>
  <si>
    <t>liniowa</t>
  </si>
  <si>
    <t>Środki transportu</t>
  </si>
  <si>
    <t>Maszyny i urządzenia</t>
  </si>
  <si>
    <t>degresywna</t>
  </si>
  <si>
    <t>Lata</t>
  </si>
  <si>
    <t>Amortyzacja ogółem</t>
  </si>
  <si>
    <t xml:space="preserve">Środki transportu </t>
  </si>
  <si>
    <t>Metoda degresywna</t>
  </si>
  <si>
    <t>Saldo początkowe</t>
  </si>
  <si>
    <t>Rata amortyzacji</t>
  </si>
  <si>
    <t>Saldo końcowe</t>
  </si>
  <si>
    <t>Stopa inwestorska FCFF</t>
  </si>
  <si>
    <t>Rodzaj kapitału</t>
  </si>
  <si>
    <t>Wartość</t>
  </si>
  <si>
    <t>Udział</t>
  </si>
  <si>
    <t>Koszt kapitału</t>
  </si>
  <si>
    <t>WACC</t>
  </si>
  <si>
    <t>Kapitał własny</t>
  </si>
  <si>
    <t>Kredyt bankowy</t>
  </si>
  <si>
    <t>SUMA</t>
  </si>
  <si>
    <t>1)Okres zwrotu</t>
  </si>
  <si>
    <t>Saldo na koniec okresu</t>
  </si>
  <si>
    <t>Oz</t>
  </si>
  <si>
    <t>6 lat 11 miesięcy</t>
  </si>
  <si>
    <t>[miesiące]</t>
  </si>
  <si>
    <t>Interprertacja:</t>
  </si>
  <si>
    <t>Wygenerowane przez projekt efekty pokryją poniesione nakłady po upływie 6 lat i 11 miesięcy po początku inwestycji, czyli 4 lata i 11 miesięcy po rozpoczęciu fazy operacyjnej</t>
  </si>
  <si>
    <t>2)NPV</t>
  </si>
  <si>
    <t>Wsp. dyskonta</t>
  </si>
  <si>
    <t>DCF</t>
  </si>
  <si>
    <t>NPV</t>
  </si>
  <si>
    <t>NPV[Excel]</t>
  </si>
  <si>
    <t>Interpretacja:</t>
  </si>
  <si>
    <t>NPV&gt;0 projekt jest opłacalny, wygeneruje on 562 040,62 zł wolnych zdyskontowanych przepływów pieniężnych</t>
  </si>
  <si>
    <t>3) IRR</t>
  </si>
  <si>
    <t>IRR [excel]</t>
  </si>
  <si>
    <t>Wsp.Dyskonta (k=14%)</t>
  </si>
  <si>
    <t>DCF (k=14%)</t>
  </si>
  <si>
    <t>NPV (k=14%)</t>
  </si>
  <si>
    <t>Wsp.Dyskonta (k=15%)</t>
  </si>
  <si>
    <t>DCF (k=15%)</t>
  </si>
  <si>
    <t>NPV (k=15%)</t>
  </si>
  <si>
    <t xml:space="preserve">IRR </t>
  </si>
  <si>
    <t>IRR&gt;r, projekt opłacalny. Każda złotówka zaangażowanego kapitału wygeneruje ponad 14 groszy korzyści netto</t>
  </si>
  <si>
    <t>4)MIRR</t>
  </si>
  <si>
    <t>MIRR</t>
  </si>
  <si>
    <t>MIRR[excel]</t>
  </si>
  <si>
    <t>MIRR &gt;= r, projekt opłacalny. Każda złotówka zaangażowanego kapitału wygeneruje rzeczywiście ponad 13 groszy korzyści netto</t>
  </si>
  <si>
    <t>Rzeczywisty margines bezpieczeństwa MIRR-R</t>
  </si>
  <si>
    <t>Projekt ma 0,80 p.p. zapasu rentowności.</t>
  </si>
  <si>
    <t>I. Nakłady inwestycjne ogółem</t>
  </si>
  <si>
    <t>Nakłady finansowane kredytem bankowym</t>
  </si>
  <si>
    <t>Wpływ kredytu</t>
  </si>
  <si>
    <t>Spłata rat kapitałowych</t>
  </si>
  <si>
    <t>4. Zysk operacyjny</t>
  </si>
  <si>
    <t>5.Koszty Finansowe</t>
  </si>
  <si>
    <t>6.Zysk  Brutto</t>
  </si>
  <si>
    <t>7. Podatek</t>
  </si>
  <si>
    <t>8. Zysk netto</t>
  </si>
  <si>
    <t>Rozliczenie kredytu</t>
  </si>
  <si>
    <t>SP</t>
  </si>
  <si>
    <t>Rata kredytu</t>
  </si>
  <si>
    <t>Rata kapitałowa</t>
  </si>
  <si>
    <t>Odsetki</t>
  </si>
  <si>
    <t>SK</t>
  </si>
  <si>
    <t>Stopa inwestorska FCFE</t>
  </si>
  <si>
    <t>1) Okres zwrotu</t>
  </si>
  <si>
    <t>Wyłożony przez inwestora kapitał własny zostanie zwrócony po upływie 5 lat i 10 miesięcy począwszy od fazy eksploatacji inwestycji /7 lat i 10 miesiący począwszy od fazy realizacji inwestycji/.</t>
  </si>
  <si>
    <t>7 lat 10 miesięcy</t>
  </si>
  <si>
    <t>Inwestorska 5 lat 7 miesięcy</t>
  </si>
  <si>
    <t>Właścicielska 7 lat 10 miesięcy</t>
  </si>
  <si>
    <t>NPV&gt;0 projekt opłacalny; Po zrealizowaniu projektu przyrost kapitału własnego wyniesie 876 939zł. Projekt wygeneruje 876 939zł wolnych zdyskontowanych przepływów pieniężnych przynależnych właścicielom.</t>
  </si>
  <si>
    <t>3) IRR niemożliwe do obliczenia</t>
  </si>
  <si>
    <t xml:space="preserve">MIRR </t>
  </si>
  <si>
    <t>MIRR[Excel]</t>
  </si>
  <si>
    <t>Każda złotówka zaangażowanego kapitału wygeneruje rzeczywiście 16 gr korzyści netto</t>
  </si>
  <si>
    <t>Projekt ma 2,86 p.p. zapasu rentowności.</t>
  </si>
  <si>
    <t>Podsumowanie:</t>
  </si>
  <si>
    <t>Projekt jest opłacalny zarówno z perspektywy firmy (FCFF), jak i właściciela (FCFE). Generuje dodatnie NPV, dodatni MIRR‑R oraz posiada bezpieczny okres zwrotu. Finansowanie dłużne zwiększa rentowność kapitału własnego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</si>
</sst>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\ &quot;zł&quot;;[Red]\-#,##0\ &quot;zł&quot;"/>
    <numFmt numFmtId="165" formatCode="#,##0.00\ &quot;zł&quot;;[Red]\-#,##0.00\ &quot;zł&quot;"/>
    <numFmt numFmtId="166" formatCode="0.0%"/>
    <numFmt numFmtId="167" formatCode="0.0000"/>
    <numFmt numFmtId="168" formatCode="_-* #,##0_-;\-* #,##0_-;_-* &quot;-&quot;??_-;_-@_-"/>
  </numFmts>
  <fonts count="8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i/>
      <sz val="11"/>
      <color theme="1"/>
      <name val="Calibri"/>
    </font>
    <font>
      <i/>
      <sz val="11"/>
      <color theme="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E7E6E6"/>
        <bgColor rgb="FFE7E6E6"/>
      </patternFill>
    </fill>
    <fill>
      <patternFill patternType="solid">
        <fgColor rgb="FFD9E2F3"/>
        <bgColor rgb="FFD9E2F3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4" fillId="0" borderId="0" xfId="0" applyFont="1"/>
    <xf numFmtId="0" fontId="5" fillId="0" borderId="0" xfId="0" applyFont="1"/>
    <xf numFmtId="0" fontId="1" fillId="0" borderId="2" xfId="0" applyFont="1" applyBorder="1"/>
    <xf numFmtId="0" fontId="3" fillId="0" borderId="3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left" vertical="center"/>
    </xf>
    <xf numFmtId="0" fontId="1" fillId="0" borderId="4" xfId="0" applyFont="1" applyBorder="1"/>
    <xf numFmtId="0" fontId="6" fillId="2" borderId="3" xfId="0" applyFont="1" applyFill="1" applyBorder="1" applyAlignment="1">
      <alignment horizontal="right"/>
    </xf>
    <xf numFmtId="0" fontId="7" fillId="0" borderId="3" xfId="0" applyFont="1" applyBorder="1" applyAlignment="1">
      <alignment horizontal="right"/>
    </xf>
    <xf numFmtId="3" fontId="1" fillId="0" borderId="3" xfId="0" applyNumberFormat="1" applyFont="1" applyBorder="1"/>
    <xf numFmtId="10" fontId="1" fillId="0" borderId="3" xfId="0" applyNumberFormat="1" applyFont="1" applyBorder="1" applyAlignment="1">
      <alignment horizontal="right"/>
    </xf>
    <xf numFmtId="9" fontId="1" fillId="0" borderId="3" xfId="0" applyNumberFormat="1" applyFont="1" applyBorder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67" fontId="1" fillId="0" borderId="0" xfId="0" applyNumberFormat="1" applyFont="1"/>
    <xf numFmtId="0" fontId="1" fillId="3" borderId="1" xfId="0" applyFont="1" applyFill="1" applyBorder="1"/>
    <xf numFmtId="0" fontId="1" fillId="3" borderId="1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4" fillId="0" borderId="1" xfId="0" applyFont="1" applyBorder="1"/>
    <xf numFmtId="0" fontId="0" fillId="0" borderId="1" xfId="0" applyBorder="1"/>
    <xf numFmtId="0" fontId="4" fillId="0" borderId="3" xfId="0" applyFont="1" applyBorder="1"/>
    <xf numFmtId="0" fontId="1" fillId="4" borderId="3" xfId="0" applyFont="1" applyFill="1" applyBorder="1"/>
    <xf numFmtId="3" fontId="1" fillId="3" borderId="3" xfId="0" applyNumberFormat="1" applyFont="1" applyFill="1" applyBorder="1"/>
    <xf numFmtId="0" fontId="1" fillId="3" borderId="3" xfId="0" applyFont="1" applyFill="1" applyBorder="1"/>
    <xf numFmtId="0" fontId="0" fillId="0" borderId="3" xfId="0" applyBorder="1"/>
    <xf numFmtId="0" fontId="1" fillId="0" borderId="1" xfId="0" applyFont="1" applyBorder="1" applyAlignment="1">
      <alignment horizontal="left"/>
    </xf>
    <xf numFmtId="0" fontId="0" fillId="0" borderId="4" xfId="0" applyBorder="1"/>
    <xf numFmtId="3" fontId="1" fillId="0" borderId="4" xfId="0" applyNumberFormat="1" applyFont="1" applyBorder="1"/>
    <xf numFmtId="0" fontId="3" fillId="5" borderId="3" xfId="0" applyFont="1" applyFill="1" applyBorder="1"/>
    <xf numFmtId="0" fontId="1" fillId="5" borderId="11" xfId="0" applyFont="1" applyFill="1" applyBorder="1"/>
    <xf numFmtId="0" fontId="3" fillId="5" borderId="11" xfId="0" applyFont="1" applyFill="1" applyBorder="1"/>
    <xf numFmtId="0" fontId="3" fillId="6" borderId="1" xfId="0" applyFont="1" applyFill="1" applyBorder="1"/>
    <xf numFmtId="0" fontId="3" fillId="7" borderId="5" xfId="0" applyFont="1" applyFill="1" applyBorder="1"/>
    <xf numFmtId="3" fontId="3" fillId="7" borderId="6" xfId="0" applyNumberFormat="1" applyFont="1" applyFill="1" applyBorder="1"/>
    <xf numFmtId="0" fontId="3" fillId="7" borderId="6" xfId="0" applyFont="1" applyFill="1" applyBorder="1"/>
    <xf numFmtId="3" fontId="3" fillId="7" borderId="7" xfId="0" applyNumberFormat="1" applyFont="1" applyFill="1" applyBorder="1"/>
    <xf numFmtId="0" fontId="1" fillId="0" borderId="1" xfId="0" applyFont="1" applyBorder="1"/>
    <xf numFmtId="0" fontId="1" fillId="2" borderId="3" xfId="0" applyFont="1" applyFill="1" applyBorder="1"/>
    <xf numFmtId="3" fontId="3" fillId="6" borderId="11" xfId="0" applyNumberFormat="1" applyFont="1" applyFill="1" applyBorder="1"/>
    <xf numFmtId="0" fontId="1" fillId="2" borderId="8" xfId="0" applyFont="1" applyFill="1" applyBorder="1"/>
    <xf numFmtId="0" fontId="4" fillId="6" borderId="11" xfId="0" applyFont="1" applyFill="1" applyBorder="1"/>
    <xf numFmtId="3" fontId="1" fillId="6" borderId="11" xfId="0" applyNumberFormat="1" applyFont="1" applyFill="1" applyBorder="1"/>
    <xf numFmtId="0" fontId="1" fillId="0" borderId="3" xfId="0" applyFont="1" applyBorder="1" applyAlignment="1">
      <alignment horizontal="center"/>
    </xf>
    <xf numFmtId="0" fontId="1" fillId="0" borderId="10" xfId="0" applyFont="1" applyBorder="1"/>
    <xf numFmtId="0" fontId="3" fillId="0" borderId="3" xfId="0" applyFont="1" applyBorder="1" applyAlignment="1">
      <alignment horizontal="right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right"/>
    </xf>
    <xf numFmtId="166" fontId="1" fillId="0" borderId="3" xfId="0" applyNumberFormat="1" applyFont="1" applyBorder="1"/>
    <xf numFmtId="10" fontId="1" fillId="0" borderId="3" xfId="0" applyNumberFormat="1" applyFont="1" applyBorder="1"/>
    <xf numFmtId="10" fontId="3" fillId="0" borderId="3" xfId="0" applyNumberFormat="1" applyFont="1" applyBorder="1"/>
    <xf numFmtId="165" fontId="1" fillId="0" borderId="3" xfId="0" applyNumberFormat="1" applyFont="1" applyBorder="1"/>
    <xf numFmtId="0" fontId="1" fillId="0" borderId="8" xfId="0" applyFont="1" applyBorder="1"/>
    <xf numFmtId="0" fontId="0" fillId="8" borderId="0" xfId="0" applyFill="1"/>
    <xf numFmtId="0" fontId="5" fillId="8" borderId="0" xfId="0" applyFont="1" applyFill="1"/>
    <xf numFmtId="0" fontId="4" fillId="9" borderId="1" xfId="0" applyFont="1" applyFill="1" applyBorder="1"/>
    <xf numFmtId="10" fontId="1" fillId="9" borderId="1" xfId="0" applyNumberFormat="1" applyFont="1" applyFill="1" applyBorder="1"/>
    <xf numFmtId="0" fontId="0" fillId="9" borderId="1" xfId="0" applyFill="1" applyBorder="1"/>
    <xf numFmtId="0" fontId="3" fillId="0" borderId="4" xfId="0" applyFont="1" applyBorder="1" applyAlignment="1">
      <alignment horizontal="right"/>
    </xf>
    <xf numFmtId="0" fontId="0" fillId="8" borderId="1" xfId="0" applyFill="1" applyBorder="1"/>
    <xf numFmtId="0" fontId="5" fillId="8" borderId="1" xfId="0" applyFont="1" applyFill="1" applyBorder="1"/>
    <xf numFmtId="168" fontId="0" fillId="8" borderId="0" xfId="0" applyNumberFormat="1" applyFill="1"/>
    <xf numFmtId="1" fontId="1" fillId="0" borderId="3" xfId="0" applyNumberFormat="1" applyFont="1" applyBorder="1"/>
    <xf numFmtId="0" fontId="0" fillId="9" borderId="0" xfId="0" applyFill="1"/>
    <xf numFmtId="0" fontId="1" fillId="0" borderId="14" xfId="0" applyFont="1" applyBorder="1"/>
    <xf numFmtId="0" fontId="7" fillId="0" borderId="8" xfId="0" applyFont="1" applyBorder="1" applyAlignment="1">
      <alignment horizontal="right"/>
    </xf>
    <xf numFmtId="3" fontId="1" fillId="0" borderId="8" xfId="0" applyNumberFormat="1" applyFont="1" applyBorder="1"/>
    <xf numFmtId="9" fontId="1" fillId="0" borderId="10" xfId="0" applyNumberFormat="1" applyFont="1" applyBorder="1"/>
    <xf numFmtId="0" fontId="3" fillId="0" borderId="1" xfId="0" applyFont="1" applyBorder="1" applyAlignment="1">
      <alignment horizontal="left" wrapText="1"/>
    </xf>
    <xf numFmtId="0" fontId="1" fillId="4" borderId="3" xfId="0" applyFont="1" applyFill="1" applyBorder="1" applyAlignment="1">
      <alignment horizontal="left"/>
    </xf>
    <xf numFmtId="3" fontId="4" fillId="0" borderId="3" xfId="0" applyNumberFormat="1" applyFont="1" applyBorder="1"/>
    <xf numFmtId="0" fontId="3" fillId="10" borderId="3" xfId="0" applyFont="1" applyFill="1" applyBorder="1"/>
    <xf numFmtId="0" fontId="0" fillId="10" borderId="3" xfId="0" applyFill="1" applyBorder="1"/>
    <xf numFmtId="0" fontId="4" fillId="10" borderId="3" xfId="0" applyFont="1" applyFill="1" applyBorder="1"/>
    <xf numFmtId="3" fontId="4" fillId="10" borderId="3" xfId="0" applyNumberFormat="1" applyFont="1" applyFill="1" applyBorder="1"/>
    <xf numFmtId="0" fontId="3" fillId="11" borderId="3" xfId="0" applyFont="1" applyFill="1" applyBorder="1"/>
    <xf numFmtId="0" fontId="4" fillId="11" borderId="3" xfId="0" applyFont="1" applyFill="1" applyBorder="1"/>
    <xf numFmtId="3" fontId="1" fillId="11" borderId="11" xfId="0" applyNumberFormat="1" applyFont="1" applyFill="1" applyBorder="1"/>
    <xf numFmtId="0" fontId="4" fillId="11" borderId="11" xfId="0" applyFont="1" applyFill="1" applyBorder="1"/>
    <xf numFmtId="0" fontId="4" fillId="11" borderId="12" xfId="0" applyFont="1" applyFill="1" applyBorder="1"/>
    <xf numFmtId="0" fontId="0" fillId="0" borderId="8" xfId="0" applyBorder="1"/>
    <xf numFmtId="3" fontId="4" fillId="10" borderId="8" xfId="0" applyNumberFormat="1" applyFont="1" applyFill="1" applyBorder="1"/>
    <xf numFmtId="0" fontId="4" fillId="0" borderId="8" xfId="0" applyFont="1" applyBorder="1"/>
    <xf numFmtId="3" fontId="4" fillId="0" borderId="8" xfId="0" applyNumberFormat="1" applyFont="1" applyBorder="1"/>
    <xf numFmtId="167" fontId="1" fillId="0" borderId="3" xfId="0" applyNumberFormat="1" applyFont="1" applyBorder="1"/>
    <xf numFmtId="167" fontId="1" fillId="0" borderId="1" xfId="0" applyNumberFormat="1" applyFont="1" applyBorder="1"/>
    <xf numFmtId="164" fontId="1" fillId="0" borderId="3" xfId="0" applyNumberFormat="1" applyFont="1" applyBorder="1"/>
    <xf numFmtId="0" fontId="7" fillId="0" borderId="4" xfId="0" applyFont="1" applyBorder="1" applyAlignment="1">
      <alignment horizontal="right"/>
    </xf>
    <xf numFmtId="0" fontId="4" fillId="0" borderId="4" xfId="0" applyFont="1" applyBorder="1"/>
    <xf numFmtId="0" fontId="3" fillId="7" borderId="3" xfId="0" applyFont="1" applyFill="1" applyBorder="1"/>
    <xf numFmtId="3" fontId="1" fillId="7" borderId="3" xfId="0" applyNumberFormat="1" applyFont="1" applyFill="1" applyBorder="1"/>
    <xf numFmtId="3" fontId="1" fillId="7" borderId="8" xfId="0" applyNumberFormat="1" applyFont="1" applyFill="1" applyBorder="1"/>
    <xf numFmtId="0" fontId="4" fillId="12" borderId="3" xfId="0" applyFont="1" applyFill="1" applyBorder="1"/>
    <xf numFmtId="10" fontId="1" fillId="12" borderId="3" xfId="0" applyNumberFormat="1" applyFont="1" applyFill="1" applyBorder="1"/>
    <xf numFmtId="0" fontId="4" fillId="8" borderId="0" xfId="0" applyFont="1" applyFill="1"/>
    <xf numFmtId="10" fontId="1" fillId="9" borderId="0" xfId="0" applyNumberFormat="1" applyFont="1" applyFill="1"/>
    <xf numFmtId="0" fontId="4" fillId="9" borderId="0" xfId="0" applyFont="1" applyFill="1"/>
    <xf numFmtId="0" fontId="1" fillId="9" borderId="1" xfId="0" applyFont="1" applyFill="1" applyBorder="1"/>
    <xf numFmtId="0" fontId="5" fillId="9" borderId="0" xfId="0" applyFont="1" applyFill="1"/>
    <xf numFmtId="0" fontId="1" fillId="9" borderId="1" xfId="0" applyFont="1" applyFill="1" applyBorder="1" applyAlignment="1">
      <alignment horizontal="left"/>
    </xf>
    <xf numFmtId="0" fontId="4" fillId="9" borderId="0" xfId="0" applyFont="1" applyFill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5" fillId="8" borderId="0" xfId="0" applyFont="1" applyFill="1" applyAlignment="1">
      <alignment horizontal="center" vertical="center"/>
    </xf>
    <xf numFmtId="0" fontId="0" fillId="8" borderId="1" xfId="0" applyFill="1" applyBorder="1" applyAlignment="1">
      <alignment horizontal="center" wrapText="1"/>
    </xf>
    <xf numFmtId="0" fontId="0" fillId="8" borderId="0" xfId="0" applyFill="1" applyAlignment="1">
      <alignment horizontal="center" wrapText="1"/>
    </xf>
    <xf numFmtId="0" fontId="4" fillId="9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1" xfId="0" applyFont="1" applyBorder="1" applyAlignment="1"/>
    <xf numFmtId="0" fontId="2" fillId="0" borderId="2" xfId="0" applyFont="1" applyBorder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32</xdr:col>
      <xdr:colOff>790575</xdr:colOff>
      <xdr:row>0</xdr:row>
      <xdr:rowOff>142875</xdr:rowOff>
    </xdr:from>
    <xdr:ext cx="6115050" cy="6429375"/>
    <xdr:pic>
      <xdr:nvPicPr>
        <xdr:cNvPr id="2" name="image1.png" title="Obraz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079700" y="142875"/>
          <a:ext cx="6115050" cy="64293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opLeftCell="A53" workbookViewId="0">
      <selection activeCell="D68" sqref="D68"/>
    </sheetView>
  </sheetViews>
  <sheetFormatPr defaultColWidth="14.42578125" defaultRowHeight="15" customHeight="1"/>
  <cols>
    <col min="1" max="1" width="45.140625" customWidth="1"/>
    <col min="2" max="2" width="20" customWidth="1"/>
    <col min="3" max="3" width="20.5703125" customWidth="1"/>
    <col min="4" max="4" width="14.7109375" customWidth="1"/>
    <col min="5" max="5" width="15" customWidth="1"/>
    <col min="6" max="6" width="13.140625" customWidth="1"/>
    <col min="7" max="7" width="15.7109375" customWidth="1"/>
    <col min="8" max="12" width="11.28515625" customWidth="1"/>
    <col min="13" max="26" width="8.7109375" customWidth="1"/>
  </cols>
  <sheetData>
    <row r="1" spans="1:15">
      <c r="A1" s="111" t="s">
        <v>0</v>
      </c>
      <c r="B1" s="105" t="s">
        <v>1</v>
      </c>
      <c r="C1" s="106"/>
      <c r="D1" s="104" t="s">
        <v>2</v>
      </c>
      <c r="E1" s="116"/>
      <c r="F1" s="116"/>
      <c r="G1" s="116"/>
      <c r="H1" s="116"/>
      <c r="I1" s="116"/>
      <c r="J1" s="116"/>
      <c r="K1" s="116"/>
      <c r="L1" s="117"/>
      <c r="M1" s="22"/>
    </row>
    <row r="2" spans="1:15">
      <c r="A2" s="116"/>
      <c r="B2" s="40">
        <v>1</v>
      </c>
      <c r="C2" s="42">
        <v>2</v>
      </c>
      <c r="D2" s="40">
        <v>3</v>
      </c>
      <c r="E2" s="40">
        <v>4</v>
      </c>
      <c r="F2" s="40">
        <v>5</v>
      </c>
      <c r="G2" s="40">
        <v>6</v>
      </c>
      <c r="H2" s="40">
        <v>7</v>
      </c>
      <c r="I2" s="40">
        <v>8</v>
      </c>
      <c r="J2" s="40">
        <v>9</v>
      </c>
      <c r="K2" s="40">
        <v>10</v>
      </c>
      <c r="L2" s="40">
        <v>11</v>
      </c>
      <c r="M2" s="22"/>
    </row>
    <row r="3" spans="1:15">
      <c r="A3" s="34" t="s">
        <v>3</v>
      </c>
      <c r="B3" s="41">
        <f>'P1 FCFE'!B4</f>
        <v>-3150000</v>
      </c>
      <c r="C3" s="41">
        <f>C4</f>
        <v>-5200000</v>
      </c>
      <c r="D3" s="43">
        <v>0</v>
      </c>
      <c r="E3" s="43">
        <v>0</v>
      </c>
      <c r="F3" s="43">
        <v>0</v>
      </c>
      <c r="G3" s="43">
        <v>0</v>
      </c>
      <c r="H3" s="43">
        <v>0</v>
      </c>
      <c r="I3" s="43">
        <v>0</v>
      </c>
      <c r="J3" s="43">
        <v>0</v>
      </c>
      <c r="K3" s="43">
        <v>0</v>
      </c>
      <c r="L3" s="44">
        <v>2200000</v>
      </c>
      <c r="M3" s="22"/>
    </row>
    <row r="4" spans="1:15">
      <c r="A4" s="16" t="s">
        <v>4</v>
      </c>
      <c r="B4" s="24">
        <v>-3150000</v>
      </c>
      <c r="C4" s="25">
        <f>C5+C6+C7</f>
        <v>-5200000</v>
      </c>
      <c r="D4" s="26"/>
      <c r="E4" s="26"/>
      <c r="F4" s="26"/>
      <c r="G4" s="26"/>
      <c r="H4" s="26"/>
      <c r="I4" s="26"/>
      <c r="J4" s="26"/>
      <c r="K4" s="26"/>
      <c r="L4" s="26"/>
      <c r="M4" s="22"/>
      <c r="O4" s="2"/>
    </row>
    <row r="5" spans="1:15">
      <c r="A5" s="28" t="s">
        <v>5</v>
      </c>
      <c r="B5" s="10">
        <v>-100000</v>
      </c>
      <c r="C5" s="5"/>
      <c r="D5" s="27"/>
      <c r="E5" s="27"/>
      <c r="F5" s="27"/>
      <c r="G5" s="27"/>
      <c r="H5" s="27"/>
      <c r="I5" s="27"/>
      <c r="J5" s="27"/>
      <c r="K5" s="27"/>
      <c r="L5" s="27"/>
      <c r="M5" s="22"/>
    </row>
    <row r="6" spans="1:15">
      <c r="A6" s="28" t="s">
        <v>6</v>
      </c>
      <c r="B6" s="10">
        <v>-3050000</v>
      </c>
      <c r="C6" s="10">
        <v>-5000000</v>
      </c>
      <c r="D6" s="27"/>
      <c r="E6" s="27"/>
      <c r="F6" s="27"/>
      <c r="G6" s="27"/>
      <c r="H6" s="27"/>
      <c r="I6" s="27"/>
      <c r="J6" s="27"/>
      <c r="K6" s="27"/>
      <c r="L6" s="27"/>
      <c r="M6" s="22"/>
    </row>
    <row r="7" spans="1:15">
      <c r="A7" s="28" t="s">
        <v>7</v>
      </c>
      <c r="B7" s="29"/>
      <c r="C7" s="30">
        <v>-200000</v>
      </c>
      <c r="D7" s="29"/>
      <c r="E7" s="29"/>
      <c r="F7" s="29"/>
      <c r="G7" s="29"/>
      <c r="H7" s="29"/>
      <c r="I7" s="29"/>
      <c r="J7" s="29"/>
      <c r="K7" s="29"/>
      <c r="L7" s="29"/>
      <c r="M7" s="22"/>
    </row>
    <row r="8" spans="1:15">
      <c r="A8" s="17" t="s">
        <v>8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5">
        <v>2200000</v>
      </c>
      <c r="M8" s="22"/>
    </row>
    <row r="9" spans="1:15">
      <c r="A9" s="31" t="s">
        <v>9</v>
      </c>
      <c r="B9" s="32"/>
      <c r="C9" s="32"/>
      <c r="D9" s="33">
        <f t="shared" ref="D9:L9" si="0">SUM(D16,D13)</f>
        <v>919000</v>
      </c>
      <c r="E9" s="33">
        <f t="shared" si="0"/>
        <v>1500742</v>
      </c>
      <c r="F9" s="33">
        <f t="shared" si="0"/>
        <v>1767250</v>
      </c>
      <c r="G9" s="33">
        <f t="shared" si="0"/>
        <v>2192500</v>
      </c>
      <c r="H9" s="33">
        <f t="shared" si="0"/>
        <v>2192500</v>
      </c>
      <c r="I9" s="33">
        <f t="shared" si="0"/>
        <v>1771508</v>
      </c>
      <c r="J9" s="33">
        <f t="shared" si="0"/>
        <v>1732500</v>
      </c>
      <c r="K9" s="33">
        <f t="shared" si="0"/>
        <v>1732500</v>
      </c>
      <c r="L9" s="33">
        <f t="shared" si="0"/>
        <v>1732500</v>
      </c>
    </row>
    <row r="10" spans="1:15">
      <c r="A10" s="5" t="s">
        <v>10</v>
      </c>
      <c r="B10" s="5"/>
      <c r="C10" s="5"/>
      <c r="D10" s="5">
        <f>500000*15*0.5</f>
        <v>3750000</v>
      </c>
      <c r="E10" s="5">
        <f>500000*15*0.75</f>
        <v>5625000</v>
      </c>
      <c r="F10" s="5">
        <f>500000*15*0.85</f>
        <v>6375000</v>
      </c>
      <c r="G10" s="5">
        <f t="shared" ref="G10:L10" si="1">500000*15</f>
        <v>7500000</v>
      </c>
      <c r="H10" s="5">
        <f t="shared" si="1"/>
        <v>7500000</v>
      </c>
      <c r="I10" s="5">
        <f t="shared" si="1"/>
        <v>7500000</v>
      </c>
      <c r="J10" s="5">
        <f t="shared" si="1"/>
        <v>7500000</v>
      </c>
      <c r="K10" s="5">
        <f t="shared" si="1"/>
        <v>7500000</v>
      </c>
      <c r="L10" s="5">
        <f t="shared" si="1"/>
        <v>7500000</v>
      </c>
    </row>
    <row r="11" spans="1:15">
      <c r="A11" s="5" t="s">
        <v>11</v>
      </c>
      <c r="B11" s="5"/>
      <c r="C11" s="5"/>
      <c r="D11" s="5">
        <f>-500000*8*0.5</f>
        <v>-2000000</v>
      </c>
      <c r="E11" s="5">
        <f>-500000*8*0.75</f>
        <v>-3000000</v>
      </c>
      <c r="F11" s="5">
        <f>-500000*8*0.85</f>
        <v>-3400000</v>
      </c>
      <c r="G11" s="5">
        <f t="shared" ref="G11:L11" si="2">-500000*8</f>
        <v>-4000000</v>
      </c>
      <c r="H11" s="5">
        <f t="shared" si="2"/>
        <v>-4000000</v>
      </c>
      <c r="I11" s="5">
        <f t="shared" si="2"/>
        <v>-4000000</v>
      </c>
      <c r="J11" s="5">
        <f t="shared" si="2"/>
        <v>-4000000</v>
      </c>
      <c r="K11" s="5">
        <f t="shared" si="2"/>
        <v>-4000000</v>
      </c>
      <c r="L11" s="5">
        <f t="shared" si="2"/>
        <v>-4000000</v>
      </c>
    </row>
    <row r="12" spans="1:15">
      <c r="A12" s="5" t="s">
        <v>12</v>
      </c>
      <c r="B12" s="5"/>
      <c r="C12" s="5"/>
      <c r="D12" s="5">
        <v>-1500000</v>
      </c>
      <c r="E12" s="5">
        <v>-1500000</v>
      </c>
      <c r="F12" s="5">
        <v>-1500000</v>
      </c>
      <c r="G12" s="5">
        <v>-1500000</v>
      </c>
      <c r="H12" s="5">
        <v>-1500000</v>
      </c>
      <c r="I12" s="5">
        <v>-1500000</v>
      </c>
      <c r="J12" s="5">
        <v>-1500000</v>
      </c>
      <c r="K12" s="5">
        <v>-1500000</v>
      </c>
      <c r="L12" s="5">
        <v>-1500000</v>
      </c>
    </row>
    <row r="13" spans="1:15">
      <c r="A13" s="6" t="s">
        <v>13</v>
      </c>
      <c r="B13" s="5"/>
      <c r="C13" s="5"/>
      <c r="D13" s="5">
        <f>B28</f>
        <v>716500</v>
      </c>
      <c r="E13" s="5">
        <f>C28</f>
        <v>589492</v>
      </c>
      <c r="F13" s="5">
        <f>D28</f>
        <v>572500</v>
      </c>
      <c r="G13" s="5">
        <f>E28</f>
        <v>572500</v>
      </c>
      <c r="H13" s="5">
        <f>F28</f>
        <v>572500</v>
      </c>
      <c r="I13" s="5">
        <f>G28</f>
        <v>151508</v>
      </c>
      <c r="J13" s="5">
        <f>H28</f>
        <v>112500</v>
      </c>
      <c r="K13" s="5">
        <f>I28</f>
        <v>112500</v>
      </c>
      <c r="L13" s="5">
        <f>J28</f>
        <v>112500</v>
      </c>
    </row>
    <row r="14" spans="1:15">
      <c r="A14" s="5" t="s">
        <v>14</v>
      </c>
      <c r="B14" s="5"/>
      <c r="C14" s="5"/>
      <c r="D14" s="5">
        <f t="shared" ref="D14:L14" si="3">SUM(D10:D12)</f>
        <v>250000</v>
      </c>
      <c r="E14" s="5">
        <f t="shared" si="3"/>
        <v>1125000</v>
      </c>
      <c r="F14" s="5">
        <f t="shared" si="3"/>
        <v>1475000</v>
      </c>
      <c r="G14" s="5">
        <f t="shared" si="3"/>
        <v>2000000</v>
      </c>
      <c r="H14" s="5">
        <f t="shared" si="3"/>
        <v>2000000</v>
      </c>
      <c r="I14" s="5">
        <f t="shared" si="3"/>
        <v>2000000</v>
      </c>
      <c r="J14" s="5">
        <f t="shared" si="3"/>
        <v>2000000</v>
      </c>
      <c r="K14" s="5">
        <f t="shared" si="3"/>
        <v>2000000</v>
      </c>
      <c r="L14" s="5">
        <f t="shared" si="3"/>
        <v>2000000</v>
      </c>
    </row>
    <row r="15" spans="1:15">
      <c r="A15" s="5" t="s">
        <v>15</v>
      </c>
      <c r="B15" s="5"/>
      <c r="C15" s="5"/>
      <c r="D15" s="5">
        <f t="shared" ref="D15:L15" si="4">19%*-D14</f>
        <v>-47500</v>
      </c>
      <c r="E15" s="5">
        <f t="shared" si="4"/>
        <v>-213750</v>
      </c>
      <c r="F15" s="5">
        <f t="shared" si="4"/>
        <v>-280250</v>
      </c>
      <c r="G15" s="5">
        <f t="shared" si="4"/>
        <v>-380000</v>
      </c>
      <c r="H15" s="5">
        <f t="shared" si="4"/>
        <v>-380000</v>
      </c>
      <c r="I15" s="5">
        <f t="shared" si="4"/>
        <v>-380000</v>
      </c>
      <c r="J15" s="5">
        <f t="shared" si="4"/>
        <v>-380000</v>
      </c>
      <c r="K15" s="5">
        <f t="shared" si="4"/>
        <v>-380000</v>
      </c>
      <c r="L15" s="5">
        <f t="shared" si="4"/>
        <v>-380000</v>
      </c>
    </row>
    <row r="16" spans="1:15">
      <c r="A16" s="7" t="s">
        <v>16</v>
      </c>
      <c r="B16" s="7"/>
      <c r="C16" s="7"/>
      <c r="D16" s="7">
        <f t="shared" ref="D16:L16" si="5">SUM(D14:D15)</f>
        <v>202500</v>
      </c>
      <c r="E16" s="7">
        <f t="shared" si="5"/>
        <v>911250</v>
      </c>
      <c r="F16" s="7">
        <f t="shared" si="5"/>
        <v>1194750</v>
      </c>
      <c r="G16" s="7">
        <f t="shared" si="5"/>
        <v>1620000</v>
      </c>
      <c r="H16" s="7">
        <f t="shared" si="5"/>
        <v>1620000</v>
      </c>
      <c r="I16" s="7">
        <f t="shared" si="5"/>
        <v>1620000</v>
      </c>
      <c r="J16" s="7">
        <f t="shared" si="5"/>
        <v>1620000</v>
      </c>
      <c r="K16" s="7">
        <f t="shared" si="5"/>
        <v>1620000</v>
      </c>
      <c r="L16" s="7">
        <f t="shared" si="5"/>
        <v>1620000</v>
      </c>
    </row>
    <row r="17" spans="1:12">
      <c r="A17" s="35" t="s">
        <v>17</v>
      </c>
      <c r="B17" s="36">
        <f t="shared" ref="B17:C17" si="6">B3</f>
        <v>-3150000</v>
      </c>
      <c r="C17" s="36">
        <f t="shared" si="6"/>
        <v>-5200000</v>
      </c>
      <c r="D17" s="37">
        <f t="shared" ref="D17:L17" si="7">D9</f>
        <v>919000</v>
      </c>
      <c r="E17" s="37">
        <f t="shared" si="7"/>
        <v>1500742</v>
      </c>
      <c r="F17" s="37">
        <f t="shared" si="7"/>
        <v>1767250</v>
      </c>
      <c r="G17" s="37">
        <f t="shared" si="7"/>
        <v>2192500</v>
      </c>
      <c r="H17" s="37">
        <f t="shared" si="7"/>
        <v>2192500</v>
      </c>
      <c r="I17" s="37">
        <f t="shared" si="7"/>
        <v>1771508</v>
      </c>
      <c r="J17" s="37">
        <f t="shared" si="7"/>
        <v>1732500</v>
      </c>
      <c r="K17" s="37">
        <f t="shared" si="7"/>
        <v>1732500</v>
      </c>
      <c r="L17" s="38">
        <f>L9+L8</f>
        <v>3932500</v>
      </c>
    </row>
    <row r="18" spans="1:12">
      <c r="C18" s="3"/>
    </row>
    <row r="19" spans="1:12">
      <c r="C19" s="3"/>
    </row>
    <row r="20" spans="1:12">
      <c r="A20" s="8" t="s">
        <v>18</v>
      </c>
      <c r="B20" s="4" t="s">
        <v>19</v>
      </c>
      <c r="C20" s="4" t="s">
        <v>20</v>
      </c>
      <c r="D20" s="4" t="s">
        <v>21</v>
      </c>
      <c r="E20" s="4" t="s">
        <v>22</v>
      </c>
      <c r="F20" s="112" t="s">
        <v>23</v>
      </c>
      <c r="G20" s="113"/>
    </row>
    <row r="21" spans="1:12" ht="15.75" customHeight="1">
      <c r="A21" s="9" t="s">
        <v>24</v>
      </c>
      <c r="B21" s="10">
        <v>4500000</v>
      </c>
      <c r="C21" s="5" t="s">
        <v>25</v>
      </c>
      <c r="D21" s="11">
        <v>2.5000000000000001E-2</v>
      </c>
      <c r="E21" s="5"/>
      <c r="F21" s="114"/>
      <c r="G21" s="115"/>
    </row>
    <row r="22" spans="1:12" ht="15.75" customHeight="1">
      <c r="A22" s="9" t="s">
        <v>26</v>
      </c>
      <c r="B22" s="10">
        <v>500000</v>
      </c>
      <c r="C22" s="7" t="s">
        <v>25</v>
      </c>
      <c r="D22" s="12">
        <v>0.2</v>
      </c>
      <c r="E22" s="5"/>
      <c r="F22" s="114"/>
      <c r="G22" s="115"/>
    </row>
    <row r="23" spans="1:12" ht="15.75" customHeight="1">
      <c r="A23" s="9" t="s">
        <v>27</v>
      </c>
      <c r="B23" s="68">
        <v>2000000</v>
      </c>
      <c r="C23" s="5" t="s">
        <v>28</v>
      </c>
      <c r="D23" s="69">
        <v>0.18</v>
      </c>
      <c r="E23" s="5">
        <v>1.4</v>
      </c>
      <c r="F23" s="114">
        <f>B23*D23</f>
        <v>360000</v>
      </c>
      <c r="G23" s="115"/>
    </row>
    <row r="24" spans="1:12" ht="15.75" customHeight="1">
      <c r="B24" s="22"/>
      <c r="C24" s="39"/>
      <c r="D24" s="22"/>
    </row>
    <row r="25" spans="1:12" ht="15.75" customHeight="1">
      <c r="C25" s="22"/>
    </row>
    <row r="26" spans="1:12" ht="15.75" customHeight="1"/>
    <row r="27" spans="1:12" ht="15.75" customHeight="1">
      <c r="A27" s="9" t="s">
        <v>29</v>
      </c>
      <c r="B27" s="46">
        <v>1</v>
      </c>
      <c r="C27" s="5">
        <v>2</v>
      </c>
      <c r="D27" s="5">
        <v>3</v>
      </c>
      <c r="E27" s="5">
        <v>4</v>
      </c>
      <c r="F27" s="5">
        <v>5</v>
      </c>
      <c r="G27" s="5">
        <v>6</v>
      </c>
      <c r="H27" s="5">
        <v>7</v>
      </c>
      <c r="I27" s="5">
        <v>8</v>
      </c>
      <c r="J27" s="5">
        <v>9</v>
      </c>
    </row>
    <row r="28" spans="1:12" ht="15.75" customHeight="1">
      <c r="A28" s="9" t="s">
        <v>30</v>
      </c>
      <c r="B28" s="46">
        <f t="shared" ref="B28:J28" si="8">SUM(B29:B31)</f>
        <v>716500</v>
      </c>
      <c r="C28" s="5">
        <f t="shared" si="8"/>
        <v>589492</v>
      </c>
      <c r="D28" s="5">
        <f t="shared" si="8"/>
        <v>572500</v>
      </c>
      <c r="E28" s="5">
        <f t="shared" si="8"/>
        <v>572500</v>
      </c>
      <c r="F28" s="5">
        <f t="shared" si="8"/>
        <v>572500</v>
      </c>
      <c r="G28" s="5">
        <f t="shared" si="8"/>
        <v>151508</v>
      </c>
      <c r="H28" s="5">
        <f t="shared" si="8"/>
        <v>112500</v>
      </c>
      <c r="I28" s="5">
        <f t="shared" si="8"/>
        <v>112500</v>
      </c>
      <c r="J28" s="5">
        <f t="shared" si="8"/>
        <v>112500</v>
      </c>
    </row>
    <row r="29" spans="1:12" ht="15.75" customHeight="1">
      <c r="A29" s="9" t="s">
        <v>24</v>
      </c>
      <c r="B29" s="46">
        <f t="shared" ref="B29:J29" si="9">$B$21*$D$21</f>
        <v>112500</v>
      </c>
      <c r="C29" s="5">
        <f t="shared" si="9"/>
        <v>112500</v>
      </c>
      <c r="D29" s="5">
        <f t="shared" si="9"/>
        <v>112500</v>
      </c>
      <c r="E29" s="5">
        <f t="shared" si="9"/>
        <v>112500</v>
      </c>
      <c r="F29" s="5">
        <f t="shared" si="9"/>
        <v>112500</v>
      </c>
      <c r="G29" s="5">
        <f t="shared" si="9"/>
        <v>112500</v>
      </c>
      <c r="H29" s="5">
        <f t="shared" si="9"/>
        <v>112500</v>
      </c>
      <c r="I29" s="5">
        <f t="shared" si="9"/>
        <v>112500</v>
      </c>
      <c r="J29" s="5">
        <f t="shared" si="9"/>
        <v>112500</v>
      </c>
    </row>
    <row r="30" spans="1:12" ht="15.75" customHeight="1">
      <c r="A30" s="9" t="s">
        <v>31</v>
      </c>
      <c r="B30" s="66">
        <f t="shared" ref="B30:F30" si="10">$B$22*$D$22</f>
        <v>100000</v>
      </c>
      <c r="C30" s="5">
        <f t="shared" si="10"/>
        <v>100000</v>
      </c>
      <c r="D30" s="5">
        <f t="shared" si="10"/>
        <v>100000</v>
      </c>
      <c r="E30" s="5">
        <f t="shared" si="10"/>
        <v>100000</v>
      </c>
      <c r="F30" s="5">
        <f t="shared" si="10"/>
        <v>100000</v>
      </c>
      <c r="G30" s="5"/>
      <c r="H30" s="5"/>
      <c r="I30" s="5"/>
      <c r="J30" s="5"/>
    </row>
    <row r="31" spans="1:12" ht="15.75" customHeight="1">
      <c r="A31" s="67" t="s">
        <v>27</v>
      </c>
      <c r="B31" s="5">
        <f>F23*E23</f>
        <v>503999.99999999994</v>
      </c>
      <c r="C31" s="46">
        <v>376992</v>
      </c>
      <c r="D31" s="5">
        <v>360000</v>
      </c>
      <c r="E31" s="5">
        <v>360000</v>
      </c>
      <c r="F31" s="5">
        <v>360000</v>
      </c>
      <c r="G31" s="5">
        <v>39008</v>
      </c>
      <c r="H31" s="5"/>
      <c r="I31" s="5"/>
      <c r="J31" s="5"/>
    </row>
    <row r="32" spans="1:12" ht="18" customHeight="1">
      <c r="B32" s="39"/>
      <c r="C32" s="22"/>
      <c r="D32" s="22"/>
    </row>
    <row r="33" spans="1:10" ht="15.75" customHeight="1">
      <c r="C33" s="22"/>
    </row>
    <row r="34" spans="1:10" ht="15.75" customHeight="1">
      <c r="A34" s="9" t="s">
        <v>27</v>
      </c>
      <c r="B34" s="18" t="s">
        <v>32</v>
      </c>
      <c r="C34" s="19"/>
      <c r="D34" s="19"/>
      <c r="E34" s="20"/>
    </row>
    <row r="35" spans="1:10" ht="38.25" customHeight="1">
      <c r="A35" s="3"/>
      <c r="B35" s="13" t="s">
        <v>29</v>
      </c>
      <c r="C35" s="14" t="s">
        <v>33</v>
      </c>
      <c r="D35" s="14" t="s">
        <v>34</v>
      </c>
      <c r="E35" s="14" t="s">
        <v>35</v>
      </c>
    </row>
    <row r="36" spans="1:10" ht="15.75" customHeight="1">
      <c r="A36" s="3"/>
      <c r="B36" s="5">
        <v>1</v>
      </c>
      <c r="C36" s="10">
        <v>2000000</v>
      </c>
      <c r="D36" s="10">
        <f t="shared" ref="D36:D37" si="11">C36*$D$23*$E$23</f>
        <v>503999.99999999994</v>
      </c>
      <c r="E36" s="10">
        <f t="shared" ref="E36:E40" si="12">C36-D36</f>
        <v>1496000</v>
      </c>
    </row>
    <row r="37" spans="1:10" ht="15.75" customHeight="1">
      <c r="A37" s="3"/>
      <c r="B37" s="5">
        <v>2</v>
      </c>
      <c r="C37" s="10">
        <f t="shared" ref="C37:C41" si="13">E36</f>
        <v>1496000</v>
      </c>
      <c r="D37" s="10">
        <f t="shared" si="11"/>
        <v>376992</v>
      </c>
      <c r="E37" s="10">
        <f t="shared" si="12"/>
        <v>1119008</v>
      </c>
    </row>
    <row r="38" spans="1:10" ht="15.75" customHeight="1">
      <c r="A38" s="3"/>
      <c r="B38" s="5">
        <v>3</v>
      </c>
      <c r="C38" s="10">
        <f t="shared" si="13"/>
        <v>1119008</v>
      </c>
      <c r="D38" s="5">
        <f>F23</f>
        <v>360000</v>
      </c>
      <c r="E38" s="10">
        <f t="shared" si="12"/>
        <v>759008</v>
      </c>
    </row>
    <row r="39" spans="1:10">
      <c r="A39" s="3"/>
      <c r="B39" s="5">
        <v>4</v>
      </c>
      <c r="C39" s="10">
        <f t="shared" si="13"/>
        <v>759008</v>
      </c>
      <c r="D39" s="5">
        <f t="shared" ref="D39:D40" si="14">D38</f>
        <v>360000</v>
      </c>
      <c r="E39" s="10">
        <f t="shared" si="12"/>
        <v>399008</v>
      </c>
      <c r="H39" s="22"/>
    </row>
    <row r="40" spans="1:10" ht="16.5" customHeight="1">
      <c r="A40" s="3"/>
      <c r="B40" s="5">
        <v>5</v>
      </c>
      <c r="C40" s="10">
        <f t="shared" si="13"/>
        <v>399008</v>
      </c>
      <c r="D40" s="5">
        <f t="shared" si="14"/>
        <v>360000</v>
      </c>
      <c r="E40" s="10">
        <f t="shared" si="12"/>
        <v>39008</v>
      </c>
      <c r="I40" s="22"/>
    </row>
    <row r="41" spans="1:10" ht="15.75" customHeight="1">
      <c r="A41" s="3"/>
      <c r="B41" s="5">
        <v>6</v>
      </c>
      <c r="C41" s="10">
        <f t="shared" si="13"/>
        <v>39008</v>
      </c>
      <c r="D41" s="10">
        <f>E40</f>
        <v>39008</v>
      </c>
      <c r="E41" s="5">
        <v>0</v>
      </c>
      <c r="I41" s="22"/>
    </row>
    <row r="42" spans="1:10" ht="15.75" customHeight="1">
      <c r="B42" s="22"/>
      <c r="I42" s="22"/>
    </row>
    <row r="43" spans="1:10" ht="15.75" customHeight="1">
      <c r="A43" s="22"/>
      <c r="B43" s="22"/>
      <c r="I43" s="22"/>
    </row>
    <row r="44" spans="1:10" ht="15.75" customHeight="1">
      <c r="A44" s="70" t="s">
        <v>36</v>
      </c>
      <c r="B44" s="48" t="s">
        <v>37</v>
      </c>
      <c r="C44" s="48" t="s">
        <v>38</v>
      </c>
      <c r="D44" s="48" t="s">
        <v>39</v>
      </c>
      <c r="E44" s="48" t="s">
        <v>40</v>
      </c>
      <c r="F44" s="48" t="s">
        <v>41</v>
      </c>
      <c r="I44" s="22"/>
    </row>
    <row r="45" spans="1:10" ht="15.75" customHeight="1">
      <c r="A45" s="39"/>
      <c r="B45" s="49" t="s">
        <v>42</v>
      </c>
      <c r="C45" s="10">
        <v>3150000</v>
      </c>
      <c r="D45" s="50">
        <f>C45/$C$47</f>
        <v>0.3772455089820359</v>
      </c>
      <c r="E45" s="51">
        <f>6.34%+7%</f>
        <v>0.13340000000000002</v>
      </c>
      <c r="F45" s="51">
        <f t="shared" ref="F45:F46" si="15">D45*E45</f>
        <v>5.0324550898203597E-2</v>
      </c>
      <c r="H45" s="22"/>
      <c r="I45" s="22"/>
      <c r="J45" s="22"/>
    </row>
    <row r="46" spans="1:10" ht="15.75" customHeight="1">
      <c r="A46" s="39"/>
      <c r="B46" s="49" t="s">
        <v>43</v>
      </c>
      <c r="C46" s="10">
        <v>5200000</v>
      </c>
      <c r="D46" s="50">
        <f>C46/$C$47</f>
        <v>0.6227544910179641</v>
      </c>
      <c r="E46" s="51">
        <f>15%*(1-0.19)</f>
        <v>0.1215</v>
      </c>
      <c r="F46" s="51">
        <f t="shared" si="15"/>
        <v>7.566467065868264E-2</v>
      </c>
      <c r="I46" s="22"/>
    </row>
    <row r="47" spans="1:10" ht="15.75" customHeight="1">
      <c r="A47" s="39"/>
      <c r="B47" s="49" t="s">
        <v>44</v>
      </c>
      <c r="C47" s="10">
        <f>C45+C46</f>
        <v>8350000</v>
      </c>
      <c r="D47" s="50">
        <f>C47/$C$47</f>
        <v>1</v>
      </c>
      <c r="E47" s="27"/>
      <c r="F47" s="52">
        <f>SUM(F45:F46)</f>
        <v>0.12598922155688624</v>
      </c>
    </row>
    <row r="48" spans="1:10" ht="15.75" customHeight="1">
      <c r="A48" s="22"/>
      <c r="B48" s="22"/>
      <c r="C48" s="39"/>
      <c r="D48" s="22"/>
    </row>
    <row r="49" spans="1:5" ht="15.75" customHeight="1">
      <c r="B49" s="22"/>
      <c r="C49" s="39"/>
      <c r="D49" s="22"/>
    </row>
    <row r="50" spans="1:5" ht="15.75" customHeight="1">
      <c r="B50" s="22"/>
      <c r="C50" s="39"/>
      <c r="D50" s="22"/>
    </row>
    <row r="51" spans="1:5" ht="15.75" customHeight="1">
      <c r="A51" s="2" t="s">
        <v>45</v>
      </c>
      <c r="B51" s="22"/>
      <c r="C51" s="39"/>
      <c r="D51" s="22"/>
    </row>
    <row r="52" spans="1:5" ht="15.75" customHeight="1">
      <c r="B52" s="22"/>
      <c r="C52" s="39"/>
      <c r="D52" s="22"/>
    </row>
    <row r="53" spans="1:5" ht="25.5" customHeight="1">
      <c r="A53" s="22"/>
      <c r="B53" s="48" t="s">
        <v>29</v>
      </c>
      <c r="C53" s="48" t="s">
        <v>17</v>
      </c>
      <c r="D53" s="48" t="s">
        <v>46</v>
      </c>
      <c r="E53" s="22"/>
    </row>
    <row r="54" spans="1:5" ht="15.75" customHeight="1">
      <c r="A54" s="22"/>
      <c r="B54" s="45">
        <v>1</v>
      </c>
      <c r="C54" s="10">
        <v>-3150000</v>
      </c>
      <c r="D54" s="10">
        <f>C54</f>
        <v>-3150000</v>
      </c>
      <c r="E54" s="22"/>
    </row>
    <row r="55" spans="1:5" ht="15.75" customHeight="1">
      <c r="A55" s="22"/>
      <c r="B55" s="45">
        <v>2</v>
      </c>
      <c r="C55" s="10">
        <v>-5200000</v>
      </c>
      <c r="D55" s="10">
        <f t="shared" ref="D55:D64" si="16">D54+C55</f>
        <v>-8350000</v>
      </c>
      <c r="E55" s="22"/>
    </row>
    <row r="56" spans="1:5" ht="15.75" customHeight="1">
      <c r="A56" s="22"/>
      <c r="B56" s="45">
        <v>3</v>
      </c>
      <c r="C56" s="10">
        <v>919000</v>
      </c>
      <c r="D56" s="10">
        <f t="shared" si="16"/>
        <v>-7431000</v>
      </c>
      <c r="E56" s="22"/>
    </row>
    <row r="57" spans="1:5" ht="15.75" customHeight="1">
      <c r="A57" s="22"/>
      <c r="B57" s="45">
        <v>4</v>
      </c>
      <c r="C57" s="10">
        <v>1500742</v>
      </c>
      <c r="D57" s="10">
        <f t="shared" si="16"/>
        <v>-5930258</v>
      </c>
      <c r="E57" s="22"/>
    </row>
    <row r="58" spans="1:5" ht="15.75" customHeight="1">
      <c r="A58" s="22"/>
      <c r="B58" s="45">
        <v>5</v>
      </c>
      <c r="C58" s="10">
        <v>1767250</v>
      </c>
      <c r="D58" s="10">
        <f t="shared" si="16"/>
        <v>-4163008</v>
      </c>
      <c r="E58" s="22"/>
    </row>
    <row r="59" spans="1:5" ht="15.75" customHeight="1">
      <c r="A59" s="22"/>
      <c r="B59" s="45">
        <v>6</v>
      </c>
      <c r="C59" s="10">
        <v>2192500</v>
      </c>
      <c r="D59" s="10">
        <f t="shared" si="16"/>
        <v>-1970508</v>
      </c>
      <c r="E59" s="22"/>
    </row>
    <row r="60" spans="1:5" ht="15.75" customHeight="1">
      <c r="A60" s="22"/>
      <c r="B60" s="45">
        <v>7</v>
      </c>
      <c r="C60" s="10">
        <v>2192500</v>
      </c>
      <c r="D60" s="10">
        <f t="shared" si="16"/>
        <v>221992</v>
      </c>
      <c r="E60" s="22"/>
    </row>
    <row r="61" spans="1:5" ht="15.75" customHeight="1">
      <c r="A61" s="22"/>
      <c r="B61" s="45">
        <v>8</v>
      </c>
      <c r="C61" s="10">
        <v>1771508</v>
      </c>
      <c r="D61" s="10">
        <f t="shared" si="16"/>
        <v>1993500</v>
      </c>
      <c r="E61" s="22"/>
    </row>
    <row r="62" spans="1:5" ht="15.75" customHeight="1">
      <c r="A62" s="22"/>
      <c r="B62" s="45">
        <v>9</v>
      </c>
      <c r="C62" s="10">
        <v>1732500</v>
      </c>
      <c r="D62" s="10">
        <f t="shared" si="16"/>
        <v>3726000</v>
      </c>
      <c r="E62" s="22"/>
    </row>
    <row r="63" spans="1:5" ht="15.75" customHeight="1">
      <c r="A63" s="22"/>
      <c r="B63" s="45">
        <v>10</v>
      </c>
      <c r="C63" s="5">
        <v>1732500</v>
      </c>
      <c r="D63" s="10">
        <f t="shared" si="16"/>
        <v>5458500</v>
      </c>
      <c r="E63" s="22"/>
    </row>
    <row r="64" spans="1:5" ht="15.75" customHeight="1">
      <c r="A64" s="22"/>
      <c r="B64" s="45">
        <v>11</v>
      </c>
      <c r="C64" s="5">
        <v>3932500</v>
      </c>
      <c r="D64" s="10">
        <f t="shared" si="16"/>
        <v>9391000</v>
      </c>
      <c r="E64" s="22"/>
    </row>
    <row r="65" spans="1:14" ht="15.75" customHeight="1">
      <c r="B65" s="22"/>
      <c r="C65" s="39"/>
      <c r="D65" s="22"/>
    </row>
    <row r="66" spans="1:14" ht="15.75" customHeight="1">
      <c r="B66" s="22"/>
      <c r="C66" s="39"/>
      <c r="D66" s="22"/>
    </row>
    <row r="67" spans="1:14" ht="15.75" customHeight="1">
      <c r="B67" s="57" t="s">
        <v>47</v>
      </c>
      <c r="C67" s="99" t="s">
        <v>48</v>
      </c>
      <c r="D67" s="22"/>
    </row>
    <row r="68" spans="1:14" ht="15.75" customHeight="1">
      <c r="B68" s="59" t="s">
        <v>49</v>
      </c>
      <c r="C68" s="101">
        <f>-D59/C60*12</f>
        <v>10.784992474344355</v>
      </c>
      <c r="D68" s="22"/>
    </row>
    <row r="69" spans="1:14" ht="15.75" customHeight="1">
      <c r="B69" s="22"/>
      <c r="C69" s="39"/>
      <c r="D69" s="22"/>
    </row>
    <row r="70" spans="1:14" ht="15.75" customHeight="1">
      <c r="B70" s="107" t="s">
        <v>50</v>
      </c>
      <c r="C70" s="109" t="s">
        <v>51</v>
      </c>
      <c r="D70" s="109"/>
      <c r="E70" s="109"/>
      <c r="F70" s="109"/>
      <c r="G70" s="109"/>
      <c r="H70" s="109"/>
      <c r="I70" s="109"/>
      <c r="J70" s="109"/>
      <c r="K70" s="109"/>
    </row>
    <row r="71" spans="1:14" ht="15.75" customHeight="1">
      <c r="B71" s="107"/>
      <c r="C71" s="109"/>
      <c r="D71" s="109"/>
      <c r="E71" s="109"/>
      <c r="F71" s="109"/>
      <c r="G71" s="109"/>
      <c r="H71" s="109"/>
      <c r="I71" s="109"/>
      <c r="J71" s="109"/>
      <c r="K71" s="109"/>
    </row>
    <row r="72" spans="1:14" ht="15.75" customHeight="1">
      <c r="B72" s="22"/>
      <c r="C72" s="39"/>
      <c r="D72" s="22"/>
    </row>
    <row r="73" spans="1:14" ht="15.75" customHeight="1">
      <c r="A73" s="2" t="s">
        <v>52</v>
      </c>
      <c r="B73" s="9" t="s">
        <v>29</v>
      </c>
      <c r="C73" s="54">
        <v>1</v>
      </c>
      <c r="D73" s="23">
        <v>2</v>
      </c>
      <c r="E73" s="23">
        <v>3</v>
      </c>
      <c r="F73" s="23">
        <v>4</v>
      </c>
      <c r="G73" s="23">
        <v>5</v>
      </c>
      <c r="H73" s="23">
        <v>6</v>
      </c>
      <c r="I73" s="23">
        <v>7</v>
      </c>
      <c r="J73" s="23">
        <v>8</v>
      </c>
      <c r="K73" s="23">
        <v>9</v>
      </c>
      <c r="L73" s="23">
        <v>10</v>
      </c>
      <c r="M73" s="23">
        <v>11</v>
      </c>
    </row>
    <row r="74" spans="1:14" ht="15.75" customHeight="1">
      <c r="A74" s="22"/>
      <c r="B74" s="9" t="s">
        <v>17</v>
      </c>
      <c r="C74" s="54">
        <v>-3150000</v>
      </c>
      <c r="D74" s="23">
        <v>-5200000</v>
      </c>
      <c r="E74" s="23">
        <v>919000</v>
      </c>
      <c r="F74" s="23">
        <v>1500742</v>
      </c>
      <c r="G74" s="23">
        <v>1767250</v>
      </c>
      <c r="H74" s="23">
        <v>2192500</v>
      </c>
      <c r="I74" s="23">
        <v>2192500</v>
      </c>
      <c r="J74" s="23">
        <v>1771508</v>
      </c>
      <c r="K74" s="23">
        <v>1732500</v>
      </c>
      <c r="L74" s="23">
        <v>1732500</v>
      </c>
      <c r="M74" s="23">
        <f>C64</f>
        <v>3932500</v>
      </c>
      <c r="N74" s="22"/>
    </row>
    <row r="75" spans="1:14" ht="15.75" customHeight="1">
      <c r="A75" s="22"/>
      <c r="B75" s="9" t="s">
        <v>53</v>
      </c>
      <c r="C75" s="54">
        <f>1/(1+$F$47)^C73</f>
        <v>0.88810796840250106</v>
      </c>
      <c r="D75" s="5">
        <f>1/(1+$F$47)^D73</f>
        <v>0.78873576354001784</v>
      </c>
      <c r="E75" s="5">
        <f>1/(1+$F$47)^E73</f>
        <v>0.7004825165639208</v>
      </c>
      <c r="F75" s="5">
        <f>1/(1+$F$47)^F73</f>
        <v>0.62210410468705502</v>
      </c>
      <c r="G75" s="5">
        <f>1/(1+$F$47)^G73</f>
        <v>0.55249561254847723</v>
      </c>
      <c r="H75" s="5">
        <f>1/(1+$F$47)^H73</f>
        <v>0.49067575601172347</v>
      </c>
      <c r="I75" s="5">
        <f>1/(1+$F$47)^I73</f>
        <v>0.4357730488159331</v>
      </c>
      <c r="J75" s="5">
        <f>1/(1+$F$47)^J73</f>
        <v>0.38701351706848225</v>
      </c>
      <c r="K75" s="5">
        <f>1/(1+$F$47)^K73</f>
        <v>0.34370978838799643</v>
      </c>
      <c r="L75" s="5">
        <f>1/(1+$F$47)^L73</f>
        <v>0.30525140188531708</v>
      </c>
      <c r="M75" s="5">
        <f>1/(1+$F$47)^M73</f>
        <v>0.27109620238038434</v>
      </c>
      <c r="N75" s="22"/>
    </row>
    <row r="76" spans="1:14" ht="15.75" customHeight="1">
      <c r="A76" s="22"/>
      <c r="B76" s="9" t="s">
        <v>54</v>
      </c>
      <c r="C76" s="54">
        <f t="shared" ref="C76:M76" si="17">C74*C75</f>
        <v>-2797540.1004678784</v>
      </c>
      <c r="D76" s="5">
        <f t="shared" si="17"/>
        <v>-4101425.9704080927</v>
      </c>
      <c r="E76" s="5">
        <f t="shared" si="17"/>
        <v>643743.43272224325</v>
      </c>
      <c r="F76" s="5">
        <f t="shared" si="17"/>
        <v>933617.75827626034</v>
      </c>
      <c r="G76" s="5">
        <f t="shared" si="17"/>
        <v>976397.87127629644</v>
      </c>
      <c r="H76" s="5">
        <f t="shared" si="17"/>
        <v>1075806.5950557038</v>
      </c>
      <c r="I76" s="5">
        <f t="shared" si="17"/>
        <v>955432.40952893335</v>
      </c>
      <c r="J76" s="5">
        <f t="shared" si="17"/>
        <v>685597.54159495281</v>
      </c>
      <c r="K76" s="5">
        <f t="shared" si="17"/>
        <v>595477.20838220383</v>
      </c>
      <c r="L76" s="5">
        <f t="shared" si="17"/>
        <v>528848.05376631184</v>
      </c>
      <c r="M76" s="5">
        <f t="shared" si="17"/>
        <v>1066085.8158608614</v>
      </c>
      <c r="N76" s="22"/>
    </row>
    <row r="77" spans="1:14" ht="15.75" customHeight="1">
      <c r="A77" s="22"/>
      <c r="B77" s="60" t="s">
        <v>55</v>
      </c>
      <c r="C77" s="7">
        <f>SUM(C76:M76)</f>
        <v>562040.61558779737</v>
      </c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</row>
    <row r="78" spans="1:14" ht="15.75" customHeight="1">
      <c r="A78" s="22"/>
      <c r="B78" s="5" t="s">
        <v>56</v>
      </c>
      <c r="C78" s="53">
        <f t="array" ref="C78">NPV(F47,C74:M74)</f>
        <v>562040.6155877962</v>
      </c>
      <c r="D78" s="22"/>
    </row>
    <row r="79" spans="1:14" ht="15.75" customHeight="1">
      <c r="A79" s="22"/>
    </row>
    <row r="80" spans="1:14" ht="15.75" customHeight="1">
      <c r="B80" s="56" t="s">
        <v>57</v>
      </c>
      <c r="C80" s="55" t="s">
        <v>58</v>
      </c>
      <c r="D80" s="55"/>
      <c r="E80" s="55"/>
      <c r="F80" s="55"/>
      <c r="G80" s="55"/>
      <c r="H80" s="55"/>
      <c r="I80" s="55"/>
      <c r="J80" s="55"/>
      <c r="K80" s="55"/>
    </row>
    <row r="81" spans="1:14" ht="15.75" customHeight="1"/>
    <row r="82" spans="1:14" ht="15.75" customHeight="1">
      <c r="B82" s="22"/>
      <c r="C82" s="39"/>
      <c r="D82" s="22"/>
    </row>
    <row r="83" spans="1:14" ht="15.75" customHeight="1">
      <c r="A83" s="2" t="s">
        <v>59</v>
      </c>
      <c r="B83" s="22"/>
      <c r="C83" s="39"/>
      <c r="D83" s="22"/>
    </row>
    <row r="84" spans="1:14" ht="15.75" customHeight="1">
      <c r="B84" s="57" t="s">
        <v>60</v>
      </c>
      <c r="C84" s="58">
        <f>IRR(C74:M74)</f>
        <v>0.14285305223409694</v>
      </c>
      <c r="D84" s="22"/>
    </row>
    <row r="85" spans="1:14" ht="15.75" customHeight="1">
      <c r="B85" s="22"/>
      <c r="C85" s="39"/>
      <c r="D85" s="22"/>
    </row>
    <row r="86" spans="1:14" ht="15.75" customHeight="1">
      <c r="B86" s="22"/>
      <c r="C86" s="39"/>
      <c r="D86" s="22"/>
    </row>
    <row r="87" spans="1:14" ht="15.75" customHeight="1">
      <c r="B87" s="22"/>
      <c r="C87" s="39"/>
      <c r="D87" s="22"/>
      <c r="E87" s="22"/>
      <c r="F87" s="22"/>
      <c r="G87" s="22"/>
      <c r="H87" s="22"/>
      <c r="I87" s="22"/>
      <c r="J87" s="22"/>
      <c r="K87" s="22"/>
      <c r="L87" s="22"/>
      <c r="M87" s="22"/>
    </row>
    <row r="88" spans="1:14" ht="15.75" customHeight="1">
      <c r="A88" s="22"/>
      <c r="B88" s="5" t="s">
        <v>17</v>
      </c>
      <c r="C88" s="5">
        <v>-3150000</v>
      </c>
      <c r="D88" s="23">
        <v>-5200000</v>
      </c>
      <c r="E88" s="23">
        <v>919000</v>
      </c>
      <c r="F88" s="23">
        <v>1500742</v>
      </c>
      <c r="G88" s="23">
        <v>1767250</v>
      </c>
      <c r="H88" s="23">
        <v>2192500</v>
      </c>
      <c r="I88" s="23">
        <v>2192500</v>
      </c>
      <c r="J88" s="23">
        <v>1771508</v>
      </c>
      <c r="K88" s="23">
        <v>1732500</v>
      </c>
      <c r="L88" s="23">
        <v>1732500</v>
      </c>
      <c r="M88" s="23">
        <f>M74</f>
        <v>3932500</v>
      </c>
      <c r="N88" s="22"/>
    </row>
    <row r="89" spans="1:14" ht="15.75" customHeight="1">
      <c r="A89" s="22"/>
      <c r="B89" s="5" t="s">
        <v>61</v>
      </c>
      <c r="C89" s="5">
        <f>1/(1+14%)^C73</f>
        <v>0.8771929824561403</v>
      </c>
      <c r="D89" s="5">
        <f>1/(1+14%)^D73</f>
        <v>0.76946752847029842</v>
      </c>
      <c r="E89" s="5">
        <f>1/(1+14%)^E73</f>
        <v>0.67497151620201612</v>
      </c>
      <c r="F89" s="5">
        <f>1/(1+14%)^F73</f>
        <v>0.59208027737018942</v>
      </c>
      <c r="G89" s="5">
        <f>1/(1+14%)^G73</f>
        <v>0.51936866435981521</v>
      </c>
      <c r="H89" s="5">
        <f>1/(1+14%)^H73</f>
        <v>0.45558654768404844</v>
      </c>
      <c r="I89" s="5">
        <f>1/(1+14%)^I73</f>
        <v>0.39963732252986695</v>
      </c>
      <c r="J89" s="5">
        <f>1/(1+14%)^J73</f>
        <v>0.35055905485076044</v>
      </c>
      <c r="K89" s="5">
        <f>1/(1+14%)^K73</f>
        <v>0.3075079428515442</v>
      </c>
      <c r="L89" s="5">
        <f>1/(1+14%)^L73</f>
        <v>0.26974380951889843</v>
      </c>
      <c r="M89" s="5">
        <f>1/(1+14%)^M73</f>
        <v>0.23661737677096348</v>
      </c>
      <c r="N89" s="22"/>
    </row>
    <row r="90" spans="1:14" ht="15.75" customHeight="1">
      <c r="A90" s="22"/>
      <c r="B90" s="5" t="s">
        <v>62</v>
      </c>
      <c r="C90" s="5">
        <f>C88*C89</f>
        <v>-2763157.8947368418</v>
      </c>
      <c r="D90" s="5">
        <f>D88*D89</f>
        <v>-4001231.148045552</v>
      </c>
      <c r="E90" s="5">
        <f>E88*E89</f>
        <v>620298.82338965277</v>
      </c>
      <c r="F90" s="5">
        <f>F88*F89</f>
        <v>888559.7396210928</v>
      </c>
      <c r="G90" s="5">
        <f>G88*G89</f>
        <v>917854.27208988345</v>
      </c>
      <c r="H90" s="5">
        <f>H88*H89</f>
        <v>998873.50579727616</v>
      </c>
      <c r="I90" s="5">
        <f>I88*I89</f>
        <v>876204.82964673324</v>
      </c>
      <c r="J90" s="5">
        <f>J88*J89</f>
        <v>621018.17014056095</v>
      </c>
      <c r="K90" s="5">
        <f t="shared" ref="D90:M90" si="18">K88*K89</f>
        <v>532757.51099030033</v>
      </c>
      <c r="L90" s="5">
        <f t="shared" si="18"/>
        <v>467331.14999149152</v>
      </c>
      <c r="M90" s="5">
        <f t="shared" si="18"/>
        <v>930497.83415181388</v>
      </c>
      <c r="N90" s="22"/>
    </row>
    <row r="91" spans="1:14" ht="15.75" customHeight="1">
      <c r="A91" s="22"/>
      <c r="B91" s="5" t="s">
        <v>63</v>
      </c>
      <c r="C91" s="64">
        <f>SUM(C90:M90)</f>
        <v>89006.7930364114</v>
      </c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2"/>
    </row>
    <row r="92" spans="1:14" ht="15.75" customHeight="1">
      <c r="A92" s="22"/>
      <c r="B92" s="5"/>
      <c r="C92" s="5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2"/>
    </row>
    <row r="93" spans="1:14" ht="15.75" customHeight="1">
      <c r="A93" s="22"/>
      <c r="B93" s="5" t="s">
        <v>64</v>
      </c>
      <c r="C93" s="5">
        <f>1/(1+15%)^C73</f>
        <v>0.86956521739130443</v>
      </c>
      <c r="D93" s="5">
        <f>1/(1+15%)^D73</f>
        <v>0.7561436672967865</v>
      </c>
      <c r="E93" s="5">
        <f>1/(1+15%)^E73</f>
        <v>0.65751623243198831</v>
      </c>
      <c r="F93" s="5">
        <f>1/(1+15%)^F73</f>
        <v>0.57175324559303342</v>
      </c>
      <c r="G93" s="5">
        <f>1/(1+15%)^G73</f>
        <v>0.49717673529828987</v>
      </c>
      <c r="H93" s="5">
        <f>1/(1+15%)^H73</f>
        <v>0.43232759591155645</v>
      </c>
      <c r="I93" s="5">
        <f>1/(1+15%)^I73</f>
        <v>0.37593703992309269</v>
      </c>
      <c r="J93" s="5">
        <f>1/(1+15%)^J73</f>
        <v>0.32690177384616753</v>
      </c>
      <c r="K93" s="5">
        <f>1/(1+15%)^K73</f>
        <v>0.28426241204014574</v>
      </c>
      <c r="L93" s="5">
        <f>1/(1+15%)^L73</f>
        <v>0.24718470612186585</v>
      </c>
      <c r="M93" s="5">
        <f>1/(1+15%)^M73</f>
        <v>0.21494322271466598</v>
      </c>
      <c r="N93" s="22"/>
    </row>
    <row r="94" spans="1:14" ht="15.75" customHeight="1">
      <c r="A94" s="22"/>
      <c r="B94" s="7" t="s">
        <v>65</v>
      </c>
      <c r="C94" s="7">
        <f>C88*C93</f>
        <v>-2739130.4347826089</v>
      </c>
      <c r="D94" s="5">
        <f t="shared" ref="C94:M94" si="19">D88*D93</f>
        <v>-3931947.0699432897</v>
      </c>
      <c r="E94" s="5">
        <f t="shared" si="19"/>
        <v>604257.41760499729</v>
      </c>
      <c r="F94" s="5">
        <f t="shared" si="19"/>
        <v>858054.1092977802</v>
      </c>
      <c r="G94" s="5">
        <f t="shared" si="19"/>
        <v>878635.58545590274</v>
      </c>
      <c r="H94" s="5">
        <f t="shared" si="19"/>
        <v>947878.25403608754</v>
      </c>
      <c r="I94" s="5">
        <f t="shared" si="19"/>
        <v>824241.96003138076</v>
      </c>
      <c r="J94" s="5">
        <f t="shared" si="19"/>
        <v>579109.10758267657</v>
      </c>
      <c r="K94" s="5">
        <f t="shared" si="19"/>
        <v>492484.6288595525</v>
      </c>
      <c r="L94" s="5">
        <f t="shared" si="19"/>
        <v>428247.5033561326</v>
      </c>
      <c r="M94" s="5">
        <f t="shared" si="19"/>
        <v>845264.22332542401</v>
      </c>
      <c r="N94" s="22"/>
    </row>
    <row r="95" spans="1:14" ht="15.75" customHeight="1">
      <c r="A95" s="22"/>
      <c r="B95" s="5" t="s">
        <v>66</v>
      </c>
      <c r="C95" s="64">
        <f>SUM(C94:M94)</f>
        <v>-212904.71517596429</v>
      </c>
      <c r="D95" s="22"/>
      <c r="E95" s="22"/>
      <c r="F95" s="22"/>
      <c r="G95" s="22"/>
      <c r="H95" s="22"/>
      <c r="I95" s="22"/>
      <c r="J95" s="22"/>
      <c r="K95" s="22"/>
      <c r="L95" s="22"/>
      <c r="M95" s="22"/>
    </row>
    <row r="96" spans="1:14" ht="15.75" customHeight="1">
      <c r="B96" s="22"/>
      <c r="C96" s="39"/>
      <c r="D96" s="22"/>
    </row>
    <row r="97" spans="1:10" ht="15.75" customHeight="1">
      <c r="B97" s="22"/>
      <c r="C97" s="39"/>
      <c r="D97" s="22"/>
    </row>
    <row r="98" spans="1:10" ht="15.75" customHeight="1">
      <c r="B98" s="59" t="s">
        <v>67</v>
      </c>
      <c r="C98" s="58">
        <f>14%+((C91*(13%-12%))/(C91-C95))</f>
        <v>0.14294810865486457</v>
      </c>
      <c r="D98" s="22"/>
    </row>
    <row r="99" spans="1:10" ht="15.75" customHeight="1"/>
    <row r="100" spans="1:10" ht="15.75" customHeight="1">
      <c r="B100" s="62" t="s">
        <v>57</v>
      </c>
      <c r="C100" s="63" t="s">
        <v>68</v>
      </c>
      <c r="D100" s="63"/>
      <c r="E100" s="63"/>
      <c r="F100" s="63"/>
      <c r="G100" s="63"/>
      <c r="H100" s="63"/>
      <c r="I100" s="63"/>
      <c r="J100" s="63"/>
    </row>
    <row r="101" spans="1:10" ht="15.75" customHeight="1">
      <c r="B101" s="22"/>
      <c r="C101" s="39"/>
      <c r="D101" s="22"/>
    </row>
    <row r="102" spans="1:10" ht="15.75" customHeight="1">
      <c r="A102" s="2" t="s">
        <v>69</v>
      </c>
      <c r="B102" s="22"/>
      <c r="C102" s="39"/>
      <c r="D102" s="22"/>
    </row>
    <row r="103" spans="1:10" ht="15.75" customHeight="1">
      <c r="B103" s="65" t="s">
        <v>70</v>
      </c>
      <c r="C103" s="58">
        <f>(1+F47)*((SUM(E76:M76)/-SUM(C76:D76))^(1/11))-1</f>
        <v>0.13403474902479751</v>
      </c>
      <c r="D103" s="22"/>
    </row>
    <row r="104" spans="1:10" ht="15.75" customHeight="1">
      <c r="B104" s="65" t="s">
        <v>71</v>
      </c>
      <c r="C104" s="58">
        <f>MIRR(C88:M88,F47,F47)</f>
        <v>0.13484245683945306</v>
      </c>
      <c r="D104" s="22"/>
    </row>
    <row r="105" spans="1:10" ht="15.75" customHeight="1">
      <c r="B105" s="21"/>
      <c r="D105" s="22"/>
    </row>
    <row r="106" spans="1:10" ht="15.75" customHeight="1">
      <c r="B106" s="56" t="s">
        <v>57</v>
      </c>
      <c r="C106" s="61" t="s">
        <v>72</v>
      </c>
      <c r="D106" s="55"/>
      <c r="E106" s="55"/>
      <c r="F106" s="55"/>
      <c r="G106" s="55"/>
      <c r="H106" s="55"/>
      <c r="I106" s="55"/>
      <c r="J106" s="55"/>
    </row>
    <row r="107" spans="1:10" ht="15.75" customHeight="1">
      <c r="B107" s="22"/>
      <c r="C107" s="39"/>
      <c r="D107" s="22"/>
    </row>
    <row r="108" spans="1:10" ht="15.75" customHeight="1">
      <c r="B108" s="22"/>
      <c r="C108" s="39"/>
      <c r="D108" s="22"/>
    </row>
    <row r="109" spans="1:10" ht="15.75" customHeight="1">
      <c r="A109" s="2" t="s">
        <v>73</v>
      </c>
      <c r="B109" s="58">
        <f>C103-F47</f>
        <v>8.0455274679112621E-3</v>
      </c>
      <c r="C109" s="39"/>
      <c r="D109" s="22"/>
    </row>
    <row r="110" spans="1:10" ht="15.75" customHeight="1">
      <c r="B110" s="22"/>
      <c r="C110" s="39"/>
      <c r="D110" s="22"/>
    </row>
    <row r="111" spans="1:10" ht="15.75" customHeight="1">
      <c r="B111" s="56" t="s">
        <v>57</v>
      </c>
      <c r="C111" s="55" t="s">
        <v>74</v>
      </c>
      <c r="D111" s="55"/>
    </row>
    <row r="112" spans="1:10" ht="15.75" customHeight="1">
      <c r="B112" s="22"/>
      <c r="C112" s="39"/>
      <c r="D112" s="22"/>
    </row>
    <row r="113" spans="2:4" ht="15.75" customHeight="1">
      <c r="B113" s="22"/>
      <c r="C113" s="39"/>
      <c r="D113" s="22"/>
    </row>
    <row r="114" spans="2:4" ht="15.75" customHeight="1">
      <c r="B114" s="22"/>
      <c r="C114" s="39"/>
      <c r="D114" s="22"/>
    </row>
    <row r="115" spans="2:4" ht="15.75" customHeight="1">
      <c r="B115" s="22"/>
      <c r="C115" s="39"/>
      <c r="D115" s="22"/>
    </row>
    <row r="116" spans="2:4" ht="15.75" customHeight="1">
      <c r="B116" s="22"/>
      <c r="C116" s="39"/>
      <c r="D116" s="22"/>
    </row>
    <row r="117" spans="2:4" ht="15.75" customHeight="1">
      <c r="B117" s="22"/>
      <c r="C117" s="39"/>
      <c r="D117" s="22"/>
    </row>
    <row r="118" spans="2:4" ht="15.75" customHeight="1">
      <c r="B118" s="22"/>
      <c r="C118" s="39"/>
      <c r="D118" s="22"/>
    </row>
    <row r="119" spans="2:4" ht="15.75" customHeight="1">
      <c r="B119" s="22"/>
      <c r="C119" s="39"/>
      <c r="D119" s="22"/>
    </row>
    <row r="120" spans="2:4" ht="15.75" customHeight="1">
      <c r="B120" s="22"/>
      <c r="C120" s="39"/>
      <c r="D120" s="22"/>
    </row>
    <row r="121" spans="2:4" ht="15.75" customHeight="1">
      <c r="B121" s="22"/>
      <c r="C121" s="39"/>
      <c r="D121" s="22"/>
    </row>
    <row r="122" spans="2:4" ht="15.75" customHeight="1">
      <c r="B122" s="22"/>
      <c r="C122" s="39"/>
      <c r="D122" s="22"/>
    </row>
    <row r="123" spans="2:4" ht="15.75" customHeight="1">
      <c r="B123" s="22"/>
      <c r="C123" s="39"/>
      <c r="D123" s="22"/>
    </row>
    <row r="124" spans="2:4" ht="15.75" customHeight="1">
      <c r="B124" s="22"/>
      <c r="C124" s="39"/>
      <c r="D124" s="22"/>
    </row>
    <row r="125" spans="2:4" ht="15.75" customHeight="1">
      <c r="B125" s="22"/>
      <c r="C125" s="39"/>
      <c r="D125" s="22"/>
    </row>
    <row r="126" spans="2:4" ht="15.75" customHeight="1">
      <c r="B126" s="22"/>
      <c r="C126" s="39"/>
      <c r="D126" s="22"/>
    </row>
    <row r="127" spans="2:4" ht="15.75" customHeight="1">
      <c r="B127" s="22"/>
      <c r="C127" s="39"/>
      <c r="D127" s="22"/>
    </row>
    <row r="128" spans="2:4" ht="15.75" customHeight="1">
      <c r="B128" s="22"/>
      <c r="C128" s="39"/>
      <c r="D128" s="22"/>
    </row>
    <row r="129" spans="2:4" ht="15.75" customHeight="1">
      <c r="B129" s="22"/>
      <c r="C129" s="39"/>
      <c r="D129" s="22"/>
    </row>
    <row r="130" spans="2:4" ht="15.75" customHeight="1">
      <c r="B130" s="22"/>
      <c r="C130" s="39"/>
      <c r="D130" s="22"/>
    </row>
    <row r="131" spans="2:4" ht="15.75" customHeight="1">
      <c r="B131" s="22"/>
      <c r="C131" s="39"/>
      <c r="D131" s="22"/>
    </row>
    <row r="132" spans="2:4" ht="15.75" customHeight="1">
      <c r="B132" s="22"/>
      <c r="C132" s="39"/>
      <c r="D132" s="22"/>
    </row>
    <row r="133" spans="2:4" ht="15.75" customHeight="1">
      <c r="B133" s="22"/>
      <c r="C133" s="39"/>
      <c r="D133" s="22"/>
    </row>
    <row r="134" spans="2:4" ht="15.75" customHeight="1">
      <c r="B134" s="22"/>
      <c r="C134" s="39"/>
      <c r="D134" s="22"/>
    </row>
    <row r="135" spans="2:4" ht="15.75" customHeight="1">
      <c r="B135" s="22"/>
      <c r="C135" s="39"/>
      <c r="D135" s="22"/>
    </row>
    <row r="136" spans="2:4" ht="15.75" customHeight="1">
      <c r="B136" s="22"/>
      <c r="C136" s="39"/>
      <c r="D136" s="22"/>
    </row>
    <row r="137" spans="2:4" ht="15.75" customHeight="1">
      <c r="B137" s="22"/>
      <c r="C137" s="39"/>
      <c r="D137" s="22"/>
    </row>
    <row r="138" spans="2:4" ht="15.75" customHeight="1">
      <c r="B138" s="22"/>
      <c r="C138" s="39"/>
      <c r="D138" s="22"/>
    </row>
    <row r="139" spans="2:4" ht="15.75" customHeight="1">
      <c r="B139" s="22"/>
      <c r="C139" s="39"/>
      <c r="D139" s="22"/>
    </row>
    <row r="140" spans="2:4" ht="15.75" customHeight="1">
      <c r="B140" s="22"/>
      <c r="C140" s="39"/>
      <c r="D140" s="22"/>
    </row>
    <row r="141" spans="2:4" ht="15.75" customHeight="1">
      <c r="B141" s="22"/>
      <c r="C141" s="39"/>
      <c r="D141" s="22"/>
    </row>
    <row r="142" spans="2:4" ht="15.75" customHeight="1">
      <c r="B142" s="22"/>
      <c r="C142" s="39"/>
      <c r="D142" s="22"/>
    </row>
    <row r="143" spans="2:4" ht="15.75" customHeight="1">
      <c r="B143" s="22"/>
      <c r="C143" s="39"/>
      <c r="D143" s="22"/>
    </row>
    <row r="144" spans="2:4" ht="15.75" customHeight="1">
      <c r="B144" s="22"/>
      <c r="C144" s="39"/>
      <c r="D144" s="22"/>
    </row>
    <row r="145" spans="2:4" ht="15.75" customHeight="1">
      <c r="B145" s="22"/>
      <c r="C145" s="39"/>
      <c r="D145" s="22"/>
    </row>
    <row r="146" spans="2:4" ht="15.75" customHeight="1">
      <c r="B146" s="22"/>
      <c r="C146" s="39"/>
      <c r="D146" s="22"/>
    </row>
    <row r="147" spans="2:4" ht="15.75" customHeight="1">
      <c r="B147" s="22"/>
      <c r="C147" s="39"/>
      <c r="D147" s="22"/>
    </row>
    <row r="148" spans="2:4" ht="15.75" customHeight="1">
      <c r="B148" s="22"/>
      <c r="C148" s="39"/>
      <c r="D148" s="22"/>
    </row>
    <row r="149" spans="2:4" ht="15.75" customHeight="1">
      <c r="B149" s="22"/>
      <c r="C149" s="39"/>
      <c r="D149" s="22"/>
    </row>
    <row r="150" spans="2:4" ht="15.75" customHeight="1">
      <c r="B150" s="22"/>
      <c r="C150" s="39"/>
      <c r="D150" s="22"/>
    </row>
    <row r="151" spans="2:4" ht="15.75" customHeight="1">
      <c r="B151" s="22"/>
      <c r="C151" s="39"/>
      <c r="D151" s="22"/>
    </row>
    <row r="152" spans="2:4" ht="15.75" customHeight="1">
      <c r="B152" s="22"/>
      <c r="C152" s="39"/>
      <c r="D152" s="22"/>
    </row>
    <row r="153" spans="2:4" ht="15.75" customHeight="1">
      <c r="B153" s="22"/>
      <c r="C153" s="39"/>
      <c r="D153" s="22"/>
    </row>
    <row r="154" spans="2:4" ht="15.75" customHeight="1">
      <c r="B154" s="22"/>
      <c r="C154" s="39"/>
      <c r="D154" s="22"/>
    </row>
    <row r="155" spans="2:4" ht="15.75" customHeight="1">
      <c r="B155" s="22"/>
      <c r="C155" s="39"/>
      <c r="D155" s="22"/>
    </row>
    <row r="156" spans="2:4" ht="15.75" customHeight="1">
      <c r="B156" s="22"/>
      <c r="C156" s="39"/>
      <c r="D156" s="22"/>
    </row>
    <row r="157" spans="2:4" ht="15.75" customHeight="1">
      <c r="B157" s="22"/>
      <c r="C157" s="39"/>
      <c r="D157" s="22"/>
    </row>
    <row r="158" spans="2:4" ht="15.75" customHeight="1">
      <c r="B158" s="22"/>
      <c r="C158" s="39"/>
      <c r="D158" s="22"/>
    </row>
    <row r="159" spans="2:4" ht="15.75" customHeight="1">
      <c r="B159" s="22"/>
      <c r="C159" s="39"/>
      <c r="D159" s="22"/>
    </row>
    <row r="160" spans="2:4" ht="15.75" customHeight="1">
      <c r="B160" s="22"/>
      <c r="C160" s="39"/>
      <c r="D160" s="22"/>
    </row>
    <row r="161" spans="2:4" ht="15.75" customHeight="1">
      <c r="B161" s="22"/>
      <c r="C161" s="39"/>
      <c r="D161" s="22"/>
    </row>
    <row r="162" spans="2:4" ht="15.75" customHeight="1">
      <c r="B162" s="22"/>
      <c r="C162" s="39"/>
      <c r="D162" s="22"/>
    </row>
    <row r="163" spans="2:4" ht="15.75" customHeight="1">
      <c r="B163" s="22"/>
      <c r="C163" s="39"/>
      <c r="D163" s="22"/>
    </row>
    <row r="164" spans="2:4" ht="15.75" customHeight="1">
      <c r="B164" s="22"/>
      <c r="C164" s="39"/>
      <c r="D164" s="22"/>
    </row>
    <row r="165" spans="2:4" ht="15.75" customHeight="1">
      <c r="B165" s="22"/>
      <c r="C165" s="39"/>
      <c r="D165" s="22"/>
    </row>
    <row r="166" spans="2:4" ht="15.75" customHeight="1">
      <c r="B166" s="22"/>
      <c r="C166" s="39"/>
      <c r="D166" s="22"/>
    </row>
    <row r="167" spans="2:4" ht="15.75" customHeight="1">
      <c r="B167" s="22"/>
      <c r="C167" s="39"/>
      <c r="D167" s="22"/>
    </row>
    <row r="168" spans="2:4" ht="15.75" customHeight="1">
      <c r="B168" s="22"/>
      <c r="C168" s="39"/>
      <c r="D168" s="22"/>
    </row>
    <row r="169" spans="2:4" ht="15.75" customHeight="1">
      <c r="B169" s="22"/>
      <c r="C169" s="39"/>
      <c r="D169" s="22"/>
    </row>
    <row r="170" spans="2:4" ht="15.75" customHeight="1">
      <c r="B170" s="22"/>
      <c r="C170" s="39"/>
      <c r="D170" s="22"/>
    </row>
    <row r="171" spans="2:4" ht="15.75" customHeight="1">
      <c r="B171" s="22"/>
      <c r="C171" s="39"/>
      <c r="D171" s="22"/>
    </row>
    <row r="172" spans="2:4" ht="15.75" customHeight="1">
      <c r="B172" s="22"/>
      <c r="C172" s="39"/>
      <c r="D172" s="22"/>
    </row>
    <row r="173" spans="2:4" ht="15.75" customHeight="1">
      <c r="B173" s="22"/>
      <c r="C173" s="39"/>
      <c r="D173" s="22"/>
    </row>
    <row r="174" spans="2:4" ht="15.75" customHeight="1">
      <c r="B174" s="22"/>
      <c r="C174" s="39"/>
      <c r="D174" s="22"/>
    </row>
    <row r="175" spans="2:4" ht="15.75" customHeight="1">
      <c r="B175" s="22"/>
      <c r="C175" s="39"/>
      <c r="D175" s="22"/>
    </row>
    <row r="176" spans="2:4" ht="15.75" customHeight="1">
      <c r="B176" s="22"/>
      <c r="C176" s="39"/>
      <c r="D176" s="22"/>
    </row>
    <row r="177" spans="2:4" ht="15.75" customHeight="1">
      <c r="B177" s="22"/>
      <c r="C177" s="39"/>
      <c r="D177" s="22"/>
    </row>
    <row r="178" spans="2:4" ht="15.75" customHeight="1">
      <c r="B178" s="22"/>
      <c r="C178" s="39"/>
      <c r="D178" s="22"/>
    </row>
    <row r="179" spans="2:4" ht="15.75" customHeight="1">
      <c r="B179" s="22"/>
      <c r="C179" s="39"/>
      <c r="D179" s="22"/>
    </row>
    <row r="180" spans="2:4" ht="15.75" customHeight="1">
      <c r="B180" s="22"/>
      <c r="C180" s="39"/>
      <c r="D180" s="22"/>
    </row>
    <row r="181" spans="2:4" ht="15.75" customHeight="1">
      <c r="B181" s="22"/>
      <c r="C181" s="39"/>
      <c r="D181" s="22"/>
    </row>
    <row r="182" spans="2:4" ht="15.75" customHeight="1">
      <c r="B182" s="22"/>
      <c r="C182" s="39"/>
      <c r="D182" s="22"/>
    </row>
    <row r="183" spans="2:4" ht="15.75" customHeight="1">
      <c r="B183" s="22"/>
      <c r="C183" s="39"/>
      <c r="D183" s="22"/>
    </row>
    <row r="184" spans="2:4" ht="15.75" customHeight="1">
      <c r="B184" s="22"/>
      <c r="C184" s="39"/>
      <c r="D184" s="22"/>
    </row>
    <row r="185" spans="2:4" ht="15.75" customHeight="1">
      <c r="B185" s="22"/>
      <c r="C185" s="39"/>
      <c r="D185" s="22"/>
    </row>
    <row r="186" spans="2:4" ht="15.75" customHeight="1">
      <c r="B186" s="22"/>
      <c r="C186" s="39"/>
      <c r="D186" s="22"/>
    </row>
    <row r="187" spans="2:4" ht="15.75" customHeight="1">
      <c r="B187" s="22"/>
      <c r="C187" s="39"/>
      <c r="D187" s="22"/>
    </row>
    <row r="188" spans="2:4" ht="15.75" customHeight="1">
      <c r="B188" s="22"/>
      <c r="C188" s="39"/>
      <c r="D188" s="22"/>
    </row>
    <row r="189" spans="2:4" ht="15.75" customHeight="1">
      <c r="B189" s="22"/>
      <c r="C189" s="39"/>
      <c r="D189" s="22"/>
    </row>
    <row r="190" spans="2:4" ht="15.75" customHeight="1">
      <c r="B190" s="22"/>
      <c r="C190" s="39"/>
      <c r="D190" s="22"/>
    </row>
    <row r="191" spans="2:4" ht="15.75" customHeight="1">
      <c r="B191" s="22"/>
      <c r="C191" s="39"/>
      <c r="D191" s="22"/>
    </row>
    <row r="192" spans="2:4" ht="15.75" customHeight="1">
      <c r="B192" s="22"/>
      <c r="C192" s="39"/>
      <c r="D192" s="22"/>
    </row>
    <row r="193" spans="2:4" ht="15.75" customHeight="1">
      <c r="B193" s="22"/>
      <c r="C193" s="39"/>
      <c r="D193" s="22"/>
    </row>
    <row r="194" spans="2:4" ht="15.75" customHeight="1">
      <c r="B194" s="22"/>
      <c r="C194" s="39"/>
      <c r="D194" s="22"/>
    </row>
    <row r="195" spans="2:4" ht="15.75" customHeight="1">
      <c r="B195" s="22"/>
      <c r="C195" s="39"/>
      <c r="D195" s="22"/>
    </row>
    <row r="196" spans="2:4" ht="15.75" customHeight="1">
      <c r="B196" s="22"/>
      <c r="C196" s="39"/>
      <c r="D196" s="22"/>
    </row>
    <row r="197" spans="2:4" ht="15.75" customHeight="1">
      <c r="B197" s="22"/>
      <c r="C197" s="39"/>
      <c r="D197" s="22"/>
    </row>
    <row r="198" spans="2:4" ht="15.75" customHeight="1">
      <c r="B198" s="22"/>
      <c r="C198" s="39"/>
      <c r="D198" s="22"/>
    </row>
    <row r="199" spans="2:4" ht="15.75" customHeight="1">
      <c r="B199" s="22"/>
      <c r="C199" s="39"/>
      <c r="D199" s="22"/>
    </row>
    <row r="200" spans="2:4" ht="15.75" customHeight="1">
      <c r="B200" s="22"/>
      <c r="C200" s="39"/>
      <c r="D200" s="22"/>
    </row>
    <row r="201" spans="2:4" ht="15.75" customHeight="1">
      <c r="B201" s="22"/>
      <c r="C201" s="39"/>
      <c r="D201" s="22"/>
    </row>
    <row r="202" spans="2:4" ht="15.75" customHeight="1">
      <c r="B202" s="22"/>
      <c r="C202" s="39"/>
      <c r="D202" s="22"/>
    </row>
    <row r="203" spans="2:4" ht="15.75" customHeight="1">
      <c r="B203" s="22"/>
      <c r="C203" s="39"/>
      <c r="D203" s="22"/>
    </row>
    <row r="204" spans="2:4" ht="15.75" customHeight="1">
      <c r="B204" s="22"/>
      <c r="C204" s="39"/>
      <c r="D204" s="22"/>
    </row>
    <row r="205" spans="2:4" ht="15.75" customHeight="1">
      <c r="B205" s="22"/>
      <c r="C205" s="39"/>
      <c r="D205" s="22"/>
    </row>
    <row r="206" spans="2:4" ht="15.75" customHeight="1">
      <c r="B206" s="22"/>
      <c r="C206" s="39"/>
      <c r="D206" s="22"/>
    </row>
    <row r="207" spans="2:4" ht="15.75" customHeight="1">
      <c r="B207" s="22"/>
      <c r="C207" s="39"/>
      <c r="D207" s="22"/>
    </row>
    <row r="208" spans="2:4" ht="15.75" customHeight="1">
      <c r="B208" s="22"/>
      <c r="C208" s="39"/>
      <c r="D208" s="22"/>
    </row>
    <row r="209" spans="2:4" ht="15.75" customHeight="1">
      <c r="B209" s="22"/>
      <c r="C209" s="39"/>
      <c r="D209" s="22"/>
    </row>
    <row r="210" spans="2:4" ht="15.75" customHeight="1">
      <c r="B210" s="22"/>
      <c r="C210" s="39"/>
      <c r="D210" s="22"/>
    </row>
    <row r="211" spans="2:4" ht="15.75" customHeight="1">
      <c r="B211" s="22"/>
      <c r="C211" s="39"/>
      <c r="D211" s="22"/>
    </row>
    <row r="212" spans="2:4" ht="15.75" customHeight="1">
      <c r="B212" s="22"/>
      <c r="C212" s="39"/>
      <c r="D212" s="22"/>
    </row>
    <row r="213" spans="2:4" ht="15.75" customHeight="1">
      <c r="B213" s="22"/>
      <c r="C213" s="39"/>
      <c r="D213" s="22"/>
    </row>
    <row r="214" spans="2:4" ht="15.75" customHeight="1">
      <c r="B214" s="22"/>
      <c r="C214" s="39"/>
      <c r="D214" s="22"/>
    </row>
    <row r="215" spans="2:4" ht="15.75" customHeight="1">
      <c r="B215" s="22"/>
      <c r="C215" s="39"/>
      <c r="D215" s="22"/>
    </row>
    <row r="216" spans="2:4" ht="15.75" customHeight="1">
      <c r="B216" s="22"/>
      <c r="C216" s="39"/>
      <c r="D216" s="22"/>
    </row>
    <row r="217" spans="2:4" ht="15.75" customHeight="1">
      <c r="B217" s="22"/>
      <c r="C217" s="39"/>
      <c r="D217" s="22"/>
    </row>
    <row r="218" spans="2:4" ht="15.75" customHeight="1">
      <c r="B218" s="22"/>
      <c r="C218" s="39"/>
      <c r="D218" s="22"/>
    </row>
    <row r="219" spans="2:4" ht="15.75" customHeight="1">
      <c r="B219" s="22"/>
      <c r="C219" s="39"/>
      <c r="D219" s="22"/>
    </row>
    <row r="220" spans="2:4" ht="15.75" customHeight="1">
      <c r="B220" s="22"/>
      <c r="C220" s="39"/>
      <c r="D220" s="22"/>
    </row>
    <row r="221" spans="2:4" ht="15.75" customHeight="1">
      <c r="B221" s="22"/>
      <c r="C221" s="39"/>
      <c r="D221" s="22"/>
    </row>
    <row r="222" spans="2:4" ht="15.75" customHeight="1">
      <c r="B222" s="22"/>
      <c r="C222" s="39"/>
      <c r="D222" s="22"/>
    </row>
    <row r="223" spans="2:4" ht="15.75" customHeight="1">
      <c r="B223" s="22"/>
      <c r="C223" s="39"/>
      <c r="D223" s="22"/>
    </row>
    <row r="224" spans="2:4" ht="15.75" customHeight="1">
      <c r="B224" s="22"/>
      <c r="C224" s="39"/>
      <c r="D224" s="22"/>
    </row>
    <row r="225" spans="2:4" ht="15.75" customHeight="1">
      <c r="B225" s="22"/>
      <c r="C225" s="39"/>
      <c r="D225" s="22"/>
    </row>
    <row r="226" spans="2:4" ht="15.75" customHeight="1">
      <c r="B226" s="22"/>
      <c r="C226" s="39"/>
      <c r="D226" s="22"/>
    </row>
    <row r="227" spans="2:4" ht="15.75" customHeight="1">
      <c r="B227" s="22"/>
      <c r="C227" s="39"/>
      <c r="D227" s="22"/>
    </row>
    <row r="228" spans="2:4" ht="15.75" customHeight="1">
      <c r="B228" s="22"/>
      <c r="C228" s="39"/>
      <c r="D228" s="22"/>
    </row>
    <row r="229" spans="2:4" ht="15.75" customHeight="1">
      <c r="B229" s="22"/>
      <c r="C229" s="39"/>
      <c r="D229" s="22"/>
    </row>
    <row r="230" spans="2:4" ht="15.75" customHeight="1">
      <c r="B230" s="22"/>
      <c r="C230" s="39"/>
      <c r="D230" s="22"/>
    </row>
    <row r="231" spans="2:4" ht="15.75" customHeight="1">
      <c r="B231" s="22"/>
      <c r="C231" s="39"/>
      <c r="D231" s="22"/>
    </row>
    <row r="232" spans="2:4" ht="15.75" customHeight="1">
      <c r="B232" s="22"/>
      <c r="C232" s="39"/>
      <c r="D232" s="22"/>
    </row>
    <row r="233" spans="2:4" ht="15.75" customHeight="1">
      <c r="B233" s="22"/>
      <c r="C233" s="39"/>
      <c r="D233" s="22"/>
    </row>
    <row r="234" spans="2:4" ht="15.75" customHeight="1">
      <c r="B234" s="22"/>
      <c r="C234" s="39"/>
      <c r="D234" s="22"/>
    </row>
    <row r="235" spans="2:4" ht="15.75" customHeight="1">
      <c r="B235" s="22"/>
      <c r="C235" s="39"/>
      <c r="D235" s="22"/>
    </row>
    <row r="236" spans="2:4" ht="15.75" customHeight="1">
      <c r="B236" s="22"/>
      <c r="C236" s="39"/>
      <c r="D236" s="22"/>
    </row>
    <row r="237" spans="2:4" ht="15.75" customHeight="1">
      <c r="B237" s="22"/>
      <c r="C237" s="39"/>
      <c r="D237" s="22"/>
    </row>
    <row r="238" spans="2:4" ht="15.75" customHeight="1">
      <c r="B238" s="22"/>
      <c r="C238" s="39"/>
      <c r="D238" s="22"/>
    </row>
    <row r="239" spans="2:4" ht="15.75" customHeight="1">
      <c r="B239" s="22"/>
      <c r="C239" s="39"/>
      <c r="D239" s="22"/>
    </row>
    <row r="240" spans="2:4" ht="15.75" customHeight="1">
      <c r="B240" s="22"/>
      <c r="C240" s="39"/>
      <c r="D240" s="22"/>
    </row>
    <row r="241" spans="2:4" ht="15.75" customHeight="1">
      <c r="B241" s="22"/>
      <c r="C241" s="39"/>
      <c r="D241" s="22"/>
    </row>
    <row r="242" spans="2:4" ht="15.75" customHeight="1">
      <c r="B242" s="22"/>
      <c r="C242" s="39"/>
      <c r="D242" s="22"/>
    </row>
    <row r="243" spans="2:4" ht="15.75" customHeight="1">
      <c r="B243" s="22"/>
      <c r="C243" s="39"/>
      <c r="D243" s="22"/>
    </row>
    <row r="244" spans="2:4" ht="15.75" customHeight="1">
      <c r="B244" s="22"/>
      <c r="C244" s="39"/>
      <c r="D244" s="22"/>
    </row>
    <row r="245" spans="2:4" ht="15.75" customHeight="1">
      <c r="B245" s="22"/>
      <c r="C245" s="39"/>
      <c r="D245" s="22"/>
    </row>
    <row r="246" spans="2:4" ht="15.75" customHeight="1">
      <c r="B246" s="22"/>
      <c r="C246" s="39"/>
      <c r="D246" s="22"/>
    </row>
    <row r="247" spans="2:4" ht="15.75" customHeight="1">
      <c r="B247" s="22"/>
      <c r="C247" s="39"/>
      <c r="D247" s="22"/>
    </row>
    <row r="248" spans="2:4" ht="15.75" customHeight="1">
      <c r="B248" s="22"/>
      <c r="C248" s="39"/>
      <c r="D248" s="22"/>
    </row>
    <row r="249" spans="2:4" ht="15.75" customHeight="1">
      <c r="B249" s="22"/>
      <c r="C249" s="39"/>
      <c r="D249" s="22"/>
    </row>
    <row r="250" spans="2:4" ht="15.75" customHeight="1">
      <c r="B250" s="22"/>
      <c r="C250" s="39"/>
      <c r="D250" s="22"/>
    </row>
    <row r="251" spans="2:4" ht="15.75" customHeight="1">
      <c r="B251" s="22"/>
      <c r="C251" s="39"/>
      <c r="D251" s="22"/>
    </row>
    <row r="252" spans="2:4" ht="15.75" customHeight="1">
      <c r="B252" s="22"/>
      <c r="C252" s="39"/>
      <c r="D252" s="22"/>
    </row>
    <row r="253" spans="2:4" ht="15.75" customHeight="1">
      <c r="B253" s="22"/>
      <c r="C253" s="39"/>
      <c r="D253" s="22"/>
    </row>
    <row r="254" spans="2:4" ht="15.75" customHeight="1">
      <c r="B254" s="22"/>
      <c r="C254" s="39"/>
      <c r="D254" s="22"/>
    </row>
    <row r="255" spans="2:4" ht="15.75" customHeight="1">
      <c r="B255" s="22"/>
      <c r="C255" s="39"/>
      <c r="D255" s="22"/>
    </row>
    <row r="256" spans="2:4" ht="15.75" customHeight="1">
      <c r="B256" s="22"/>
      <c r="C256" s="39"/>
      <c r="D256" s="22"/>
    </row>
    <row r="257" spans="2:4" ht="15.75" customHeight="1">
      <c r="B257" s="22"/>
      <c r="C257" s="39"/>
      <c r="D257" s="22"/>
    </row>
    <row r="258" spans="2:4" ht="15.75" customHeight="1">
      <c r="B258" s="22"/>
      <c r="C258" s="39"/>
      <c r="D258" s="22"/>
    </row>
    <row r="259" spans="2:4" ht="15.75" customHeight="1">
      <c r="B259" s="22"/>
      <c r="C259" s="39"/>
      <c r="D259" s="22"/>
    </row>
    <row r="260" spans="2:4" ht="15.75" customHeight="1">
      <c r="B260" s="22"/>
      <c r="C260" s="39"/>
      <c r="D260" s="22"/>
    </row>
    <row r="261" spans="2:4" ht="15.75" customHeight="1">
      <c r="B261" s="22"/>
      <c r="C261" s="39"/>
      <c r="D261" s="22"/>
    </row>
    <row r="262" spans="2:4" ht="15.75" customHeight="1">
      <c r="B262" s="22"/>
      <c r="C262" s="39"/>
      <c r="D262" s="22"/>
    </row>
    <row r="263" spans="2:4" ht="15.75" customHeight="1">
      <c r="B263" s="22"/>
      <c r="C263" s="39"/>
      <c r="D263" s="22"/>
    </row>
    <row r="264" spans="2:4" ht="15.75" customHeight="1">
      <c r="B264" s="22"/>
      <c r="C264" s="39"/>
      <c r="D264" s="22"/>
    </row>
    <row r="265" spans="2:4" ht="15.75" customHeight="1">
      <c r="B265" s="22"/>
      <c r="C265" s="39"/>
      <c r="D265" s="22"/>
    </row>
    <row r="266" spans="2:4" ht="15.75" customHeight="1">
      <c r="B266" s="22"/>
      <c r="C266" s="39"/>
      <c r="D266" s="22"/>
    </row>
    <row r="267" spans="2:4" ht="15.75" customHeight="1">
      <c r="B267" s="22"/>
      <c r="C267" s="39"/>
      <c r="D267" s="22"/>
    </row>
    <row r="268" spans="2:4" ht="15.75" customHeight="1">
      <c r="B268" s="22"/>
      <c r="C268" s="39"/>
      <c r="D268" s="22"/>
    </row>
    <row r="269" spans="2:4" ht="15.75" customHeight="1">
      <c r="B269" s="22"/>
      <c r="C269" s="39"/>
      <c r="D269" s="22"/>
    </row>
    <row r="270" spans="2:4" ht="15.75" customHeight="1">
      <c r="B270" s="22"/>
      <c r="C270" s="39"/>
      <c r="D270" s="22"/>
    </row>
    <row r="271" spans="2:4" ht="15.75" customHeight="1">
      <c r="B271" s="22"/>
      <c r="C271" s="39"/>
      <c r="D271" s="22"/>
    </row>
    <row r="272" spans="2:4" ht="15.75" customHeight="1">
      <c r="B272" s="22"/>
      <c r="C272" s="39"/>
      <c r="D272" s="22"/>
    </row>
    <row r="273" spans="2:4" ht="15.75" customHeight="1">
      <c r="B273" s="22"/>
      <c r="C273" s="39"/>
      <c r="D273" s="22"/>
    </row>
    <row r="274" spans="2:4" ht="15.75" customHeight="1">
      <c r="B274" s="22"/>
      <c r="C274" s="39"/>
      <c r="D274" s="22"/>
    </row>
    <row r="275" spans="2:4" ht="15.75" customHeight="1">
      <c r="B275" s="22"/>
      <c r="C275" s="39"/>
      <c r="D275" s="22"/>
    </row>
    <row r="276" spans="2:4" ht="15.75" customHeight="1">
      <c r="B276" s="22"/>
      <c r="C276" s="39"/>
      <c r="D276" s="22"/>
    </row>
    <row r="277" spans="2:4" ht="15.75" customHeight="1">
      <c r="B277" s="22"/>
      <c r="C277" s="39"/>
      <c r="D277" s="22"/>
    </row>
    <row r="278" spans="2:4" ht="15.75" customHeight="1">
      <c r="B278" s="22"/>
      <c r="C278" s="39"/>
      <c r="D278" s="22"/>
    </row>
    <row r="279" spans="2:4" ht="15.75" customHeight="1">
      <c r="B279" s="22"/>
      <c r="C279" s="39"/>
      <c r="D279" s="22"/>
    </row>
    <row r="280" spans="2:4" ht="15.75" customHeight="1">
      <c r="B280" s="22"/>
      <c r="C280" s="39"/>
      <c r="D280" s="22"/>
    </row>
    <row r="281" spans="2:4" ht="15.75" customHeight="1">
      <c r="B281" s="22"/>
      <c r="C281" s="39"/>
      <c r="D281" s="22"/>
    </row>
    <row r="282" spans="2:4" ht="15.75" customHeight="1">
      <c r="B282" s="22"/>
      <c r="C282" s="39"/>
      <c r="D282" s="22"/>
    </row>
    <row r="283" spans="2:4" ht="15.75" customHeight="1">
      <c r="B283" s="22"/>
      <c r="C283" s="39"/>
      <c r="D283" s="22"/>
    </row>
    <row r="284" spans="2:4" ht="15.75" customHeight="1">
      <c r="B284" s="22"/>
      <c r="C284" s="39"/>
      <c r="D284" s="22"/>
    </row>
    <row r="285" spans="2:4" ht="15.75" customHeight="1">
      <c r="B285" s="22"/>
      <c r="C285" s="39"/>
      <c r="D285" s="22"/>
    </row>
    <row r="286" spans="2:4" ht="15.75" customHeight="1">
      <c r="B286" s="22"/>
      <c r="C286" s="39"/>
      <c r="D286" s="22"/>
    </row>
    <row r="287" spans="2:4" ht="15.75" customHeight="1">
      <c r="B287" s="22"/>
      <c r="C287" s="39"/>
      <c r="D287" s="22"/>
    </row>
    <row r="288" spans="2:4" ht="15.75" customHeight="1">
      <c r="B288" s="22"/>
      <c r="C288" s="39"/>
      <c r="D288" s="22"/>
    </row>
    <row r="289" spans="2:4" ht="15.75" customHeight="1">
      <c r="B289" s="22"/>
      <c r="C289" s="39"/>
      <c r="D289" s="22"/>
    </row>
    <row r="290" spans="2:4" ht="15.75" customHeight="1">
      <c r="B290" s="22"/>
      <c r="C290" s="39"/>
      <c r="D290" s="22"/>
    </row>
    <row r="291" spans="2:4" ht="15.75" customHeight="1">
      <c r="B291" s="22"/>
      <c r="C291" s="39"/>
      <c r="D291" s="22"/>
    </row>
    <row r="292" spans="2:4" ht="15.75" customHeight="1">
      <c r="B292" s="22"/>
      <c r="C292" s="39"/>
      <c r="D292" s="22"/>
    </row>
    <row r="293" spans="2:4" ht="15.75" customHeight="1">
      <c r="B293" s="22"/>
      <c r="C293" s="39"/>
      <c r="D293" s="22"/>
    </row>
    <row r="294" spans="2:4" ht="15.75" customHeight="1">
      <c r="B294" s="22"/>
      <c r="C294" s="39"/>
      <c r="D294" s="22"/>
    </row>
    <row r="295" spans="2:4" ht="15.75" customHeight="1">
      <c r="B295" s="22"/>
      <c r="C295" s="39"/>
      <c r="D295" s="22"/>
    </row>
    <row r="296" spans="2:4" ht="15.75" customHeight="1">
      <c r="B296" s="22"/>
      <c r="C296" s="39"/>
      <c r="D296" s="22"/>
    </row>
    <row r="297" spans="2:4" ht="15.75" customHeight="1">
      <c r="B297" s="22"/>
      <c r="C297" s="39"/>
      <c r="D297" s="22"/>
    </row>
    <row r="298" spans="2:4" ht="15.75" customHeight="1">
      <c r="B298" s="22"/>
      <c r="C298" s="39"/>
      <c r="D298" s="22"/>
    </row>
    <row r="299" spans="2:4" ht="15.75" customHeight="1">
      <c r="B299" s="22"/>
      <c r="C299" s="39"/>
      <c r="D299" s="22"/>
    </row>
    <row r="300" spans="2:4" ht="15.75" customHeight="1">
      <c r="B300" s="22"/>
      <c r="C300" s="39"/>
      <c r="D300" s="22"/>
    </row>
    <row r="301" spans="2:4" ht="15.75" customHeight="1">
      <c r="B301" s="22"/>
      <c r="C301" s="39"/>
      <c r="D301" s="22"/>
    </row>
    <row r="302" spans="2:4" ht="15.75" customHeight="1">
      <c r="B302" s="22"/>
      <c r="C302" s="39"/>
      <c r="D302" s="22"/>
    </row>
    <row r="303" spans="2:4" ht="15.75" customHeight="1">
      <c r="B303" s="22"/>
      <c r="C303" s="39"/>
      <c r="D303" s="22"/>
    </row>
    <row r="304" spans="2:4" ht="15.75" customHeight="1">
      <c r="B304" s="22"/>
      <c r="C304" s="39"/>
      <c r="D304" s="22"/>
    </row>
    <row r="305" spans="2:4" ht="15.75" customHeight="1">
      <c r="B305" s="22"/>
      <c r="C305" s="39"/>
      <c r="D305" s="22"/>
    </row>
    <row r="306" spans="2:4" ht="15.75" customHeight="1">
      <c r="B306" s="22"/>
      <c r="C306" s="39"/>
      <c r="D306" s="22"/>
    </row>
    <row r="307" spans="2:4" ht="15.75" customHeight="1">
      <c r="B307" s="22"/>
      <c r="C307" s="39"/>
      <c r="D307" s="22"/>
    </row>
    <row r="308" spans="2:4" ht="15.75" customHeight="1">
      <c r="B308" s="22"/>
      <c r="C308" s="39"/>
      <c r="D308" s="22"/>
    </row>
    <row r="309" spans="2:4" ht="15.75" customHeight="1">
      <c r="B309" s="22"/>
      <c r="C309" s="39"/>
      <c r="D309" s="22"/>
    </row>
    <row r="310" spans="2:4" ht="15.75" customHeight="1">
      <c r="B310" s="22"/>
      <c r="C310" s="39"/>
      <c r="D310" s="22"/>
    </row>
    <row r="311" spans="2:4" ht="15.75" customHeight="1">
      <c r="B311" s="22"/>
      <c r="C311" s="39"/>
      <c r="D311" s="22"/>
    </row>
    <row r="312" spans="2:4" ht="15.75" customHeight="1">
      <c r="B312" s="22"/>
      <c r="C312" s="39"/>
      <c r="D312" s="22"/>
    </row>
    <row r="313" spans="2:4" ht="15.75" customHeight="1">
      <c r="B313" s="22"/>
      <c r="C313" s="39"/>
      <c r="D313" s="22"/>
    </row>
    <row r="314" spans="2:4" ht="15.75" customHeight="1">
      <c r="B314" s="22"/>
      <c r="C314" s="39"/>
      <c r="D314" s="22"/>
    </row>
    <row r="315" spans="2:4" ht="15.75" customHeight="1">
      <c r="B315" s="22"/>
      <c r="C315" s="39"/>
      <c r="D315" s="22"/>
    </row>
    <row r="316" spans="2:4" ht="15.75" customHeight="1">
      <c r="B316" s="22"/>
      <c r="C316" s="39"/>
      <c r="D316" s="22"/>
    </row>
    <row r="317" spans="2:4" ht="15.75" customHeight="1">
      <c r="B317" s="22"/>
      <c r="C317" s="39"/>
      <c r="D317" s="22"/>
    </row>
    <row r="318" spans="2:4" ht="15.75" customHeight="1">
      <c r="B318" s="22"/>
      <c r="C318" s="39"/>
      <c r="D318" s="22"/>
    </row>
    <row r="319" spans="2:4" ht="15.75" customHeight="1">
      <c r="B319" s="22"/>
      <c r="C319" s="39"/>
      <c r="D319" s="22"/>
    </row>
    <row r="320" spans="2:4" ht="15.75" customHeight="1">
      <c r="B320" s="22"/>
      <c r="C320" s="39"/>
      <c r="D320" s="22"/>
    </row>
    <row r="321" spans="2:4" ht="15.75" customHeight="1">
      <c r="B321" s="22"/>
      <c r="C321" s="39"/>
      <c r="D321" s="22"/>
    </row>
    <row r="322" spans="2:4" ht="15.75" customHeight="1">
      <c r="B322" s="22"/>
      <c r="C322" s="39"/>
      <c r="D322" s="22"/>
    </row>
    <row r="323" spans="2:4" ht="15.75" customHeight="1">
      <c r="B323" s="22"/>
      <c r="C323" s="39"/>
      <c r="D323" s="22"/>
    </row>
    <row r="324" spans="2:4" ht="15.75" customHeight="1">
      <c r="B324" s="22"/>
      <c r="C324" s="39"/>
      <c r="D324" s="22"/>
    </row>
    <row r="325" spans="2:4" ht="15.75" customHeight="1">
      <c r="B325" s="22"/>
      <c r="C325" s="39"/>
      <c r="D325" s="22"/>
    </row>
    <row r="326" spans="2:4" ht="15.75" customHeight="1">
      <c r="B326" s="22"/>
      <c r="C326" s="39"/>
      <c r="D326" s="22"/>
    </row>
    <row r="327" spans="2:4" ht="15.75" customHeight="1">
      <c r="B327" s="22"/>
      <c r="C327" s="39"/>
      <c r="D327" s="22"/>
    </row>
    <row r="328" spans="2:4" ht="15.75" customHeight="1">
      <c r="B328" s="22"/>
      <c r="C328" s="39"/>
      <c r="D328" s="22"/>
    </row>
    <row r="329" spans="2:4" ht="15.75" customHeight="1">
      <c r="B329" s="22"/>
      <c r="C329" s="39"/>
      <c r="D329" s="22"/>
    </row>
    <row r="330" spans="2:4" ht="15.75" customHeight="1">
      <c r="B330" s="22"/>
      <c r="C330" s="39"/>
      <c r="D330" s="22"/>
    </row>
    <row r="331" spans="2:4" ht="15.75" customHeight="1">
      <c r="B331" s="22"/>
      <c r="C331" s="39"/>
      <c r="D331" s="22"/>
    </row>
    <row r="332" spans="2:4" ht="15.75" customHeight="1">
      <c r="B332" s="22"/>
      <c r="C332" s="39"/>
      <c r="D332" s="22"/>
    </row>
    <row r="333" spans="2:4" ht="15.75" customHeight="1">
      <c r="B333" s="22"/>
      <c r="C333" s="39"/>
      <c r="D333" s="22"/>
    </row>
    <row r="334" spans="2:4" ht="15.75" customHeight="1">
      <c r="B334" s="22"/>
      <c r="C334" s="39"/>
      <c r="D334" s="22"/>
    </row>
    <row r="335" spans="2:4" ht="15.75" customHeight="1">
      <c r="B335" s="22"/>
      <c r="C335" s="39"/>
      <c r="D335" s="22"/>
    </row>
    <row r="336" spans="2:4" ht="15.75" customHeight="1">
      <c r="B336" s="22"/>
      <c r="C336" s="39"/>
      <c r="D336" s="22"/>
    </row>
    <row r="337" spans="2:4" ht="15.75" customHeight="1">
      <c r="B337" s="22"/>
      <c r="C337" s="39"/>
      <c r="D337" s="22"/>
    </row>
    <row r="338" spans="2:4" ht="15.75" customHeight="1">
      <c r="B338" s="22"/>
      <c r="C338" s="39"/>
      <c r="D338" s="22"/>
    </row>
    <row r="339" spans="2:4" ht="15.75" customHeight="1">
      <c r="B339" s="22"/>
      <c r="C339" s="39"/>
      <c r="D339" s="22"/>
    </row>
    <row r="340" spans="2:4" ht="15.75" customHeight="1">
      <c r="B340" s="22"/>
      <c r="C340" s="39"/>
      <c r="D340" s="22"/>
    </row>
    <row r="341" spans="2:4" ht="15.75" customHeight="1">
      <c r="B341" s="22"/>
      <c r="C341" s="39"/>
      <c r="D341" s="22"/>
    </row>
    <row r="342" spans="2:4" ht="15.75" customHeight="1">
      <c r="B342" s="22"/>
      <c r="C342" s="39"/>
      <c r="D342" s="22"/>
    </row>
    <row r="343" spans="2:4" ht="15.75" customHeight="1">
      <c r="B343" s="22"/>
      <c r="C343" s="39"/>
      <c r="D343" s="22"/>
    </row>
    <row r="344" spans="2:4" ht="15.75" customHeight="1">
      <c r="B344" s="22"/>
      <c r="C344" s="39"/>
      <c r="D344" s="22"/>
    </row>
    <row r="345" spans="2:4" ht="15.75" customHeight="1">
      <c r="B345" s="22"/>
      <c r="C345" s="39"/>
      <c r="D345" s="22"/>
    </row>
    <row r="346" spans="2:4" ht="15.75" customHeight="1">
      <c r="B346" s="22"/>
      <c r="C346" s="39"/>
      <c r="D346" s="22"/>
    </row>
    <row r="347" spans="2:4" ht="15.75" customHeight="1">
      <c r="B347" s="22"/>
      <c r="C347" s="39"/>
      <c r="D347" s="22"/>
    </row>
    <row r="348" spans="2:4" ht="15.75" customHeight="1">
      <c r="B348" s="22"/>
      <c r="C348" s="39"/>
      <c r="D348" s="22"/>
    </row>
    <row r="349" spans="2:4" ht="15.75" customHeight="1">
      <c r="B349" s="22"/>
      <c r="C349" s="39"/>
      <c r="D349" s="22"/>
    </row>
    <row r="350" spans="2:4" ht="15.75" customHeight="1">
      <c r="B350" s="22"/>
      <c r="C350" s="39"/>
      <c r="D350" s="22"/>
    </row>
    <row r="351" spans="2:4" ht="15.75" customHeight="1">
      <c r="B351" s="22"/>
      <c r="C351" s="39"/>
      <c r="D351" s="22"/>
    </row>
    <row r="352" spans="2:4" ht="15.75" customHeight="1">
      <c r="B352" s="22"/>
      <c r="C352" s="39"/>
      <c r="D352" s="22"/>
    </row>
    <row r="353" spans="2:4" ht="15.75" customHeight="1">
      <c r="B353" s="22"/>
      <c r="C353" s="39"/>
      <c r="D353" s="22"/>
    </row>
    <row r="354" spans="2:4" ht="15.75" customHeight="1">
      <c r="B354" s="22"/>
      <c r="C354" s="39"/>
      <c r="D354" s="22"/>
    </row>
    <row r="355" spans="2:4" ht="15.75" customHeight="1">
      <c r="B355" s="22"/>
      <c r="C355" s="39"/>
      <c r="D355" s="22"/>
    </row>
    <row r="356" spans="2:4" ht="15.75" customHeight="1">
      <c r="B356" s="22"/>
      <c r="C356" s="39"/>
      <c r="D356" s="22"/>
    </row>
    <row r="357" spans="2:4" ht="15.75" customHeight="1">
      <c r="B357" s="22"/>
      <c r="C357" s="39"/>
      <c r="D357" s="22"/>
    </row>
    <row r="358" spans="2:4" ht="15.75" customHeight="1">
      <c r="B358" s="22"/>
      <c r="C358" s="39"/>
      <c r="D358" s="22"/>
    </row>
    <row r="359" spans="2:4" ht="15.75" customHeight="1">
      <c r="B359" s="22"/>
      <c r="C359" s="39"/>
      <c r="D359" s="22"/>
    </row>
    <row r="360" spans="2:4" ht="15.75" customHeight="1">
      <c r="B360" s="22"/>
      <c r="C360" s="39"/>
      <c r="D360" s="22"/>
    </row>
    <row r="361" spans="2:4" ht="15.75" customHeight="1">
      <c r="B361" s="22"/>
      <c r="C361" s="39"/>
      <c r="D361" s="22"/>
    </row>
    <row r="362" spans="2:4" ht="15.75" customHeight="1">
      <c r="B362" s="22"/>
      <c r="C362" s="39"/>
      <c r="D362" s="22"/>
    </row>
    <row r="363" spans="2:4" ht="15.75" customHeight="1">
      <c r="B363" s="22"/>
      <c r="C363" s="39"/>
      <c r="D363" s="22"/>
    </row>
    <row r="364" spans="2:4" ht="15.75" customHeight="1">
      <c r="B364" s="22"/>
      <c r="C364" s="39"/>
      <c r="D364" s="22"/>
    </row>
    <row r="365" spans="2:4" ht="15.75" customHeight="1">
      <c r="B365" s="22"/>
      <c r="C365" s="39"/>
      <c r="D365" s="22"/>
    </row>
    <row r="366" spans="2:4" ht="15.75" customHeight="1">
      <c r="B366" s="22"/>
      <c r="C366" s="39"/>
      <c r="D366" s="22"/>
    </row>
    <row r="367" spans="2:4" ht="15.75" customHeight="1">
      <c r="B367" s="22"/>
      <c r="C367" s="39"/>
      <c r="D367" s="22"/>
    </row>
    <row r="368" spans="2:4" ht="15.75" customHeight="1">
      <c r="B368" s="22"/>
      <c r="C368" s="39"/>
      <c r="D368" s="22"/>
    </row>
    <row r="369" spans="2:4" ht="15.75" customHeight="1">
      <c r="B369" s="22"/>
      <c r="C369" s="39"/>
      <c r="D369" s="22"/>
    </row>
    <row r="370" spans="2:4" ht="15.75" customHeight="1">
      <c r="B370" s="22"/>
      <c r="C370" s="39"/>
      <c r="D370" s="22"/>
    </row>
    <row r="371" spans="2:4" ht="15.75" customHeight="1">
      <c r="B371" s="22"/>
      <c r="C371" s="39"/>
      <c r="D371" s="22"/>
    </row>
    <row r="372" spans="2:4" ht="15.75" customHeight="1">
      <c r="B372" s="22"/>
      <c r="C372" s="39"/>
      <c r="D372" s="22"/>
    </row>
    <row r="373" spans="2:4" ht="15.75" customHeight="1">
      <c r="B373" s="22"/>
      <c r="C373" s="39"/>
      <c r="D373" s="22"/>
    </row>
    <row r="374" spans="2:4" ht="15.75" customHeight="1">
      <c r="B374" s="22"/>
      <c r="C374" s="39"/>
      <c r="D374" s="22"/>
    </row>
    <row r="375" spans="2:4" ht="15.75" customHeight="1">
      <c r="B375" s="22"/>
      <c r="C375" s="39"/>
      <c r="D375" s="22"/>
    </row>
    <row r="376" spans="2:4" ht="15.75" customHeight="1">
      <c r="B376" s="22"/>
      <c r="C376" s="39"/>
      <c r="D376" s="22"/>
    </row>
    <row r="377" spans="2:4" ht="15.75" customHeight="1">
      <c r="B377" s="22"/>
      <c r="C377" s="39"/>
      <c r="D377" s="22"/>
    </row>
    <row r="378" spans="2:4" ht="15.75" customHeight="1">
      <c r="B378" s="22"/>
      <c r="C378" s="39"/>
      <c r="D378" s="22"/>
    </row>
    <row r="379" spans="2:4" ht="15.75" customHeight="1">
      <c r="B379" s="22"/>
      <c r="C379" s="39"/>
      <c r="D379" s="22"/>
    </row>
    <row r="380" spans="2:4" ht="15.75" customHeight="1">
      <c r="B380" s="22"/>
      <c r="C380" s="39"/>
      <c r="D380" s="22"/>
    </row>
    <row r="381" spans="2:4" ht="15.75" customHeight="1">
      <c r="B381" s="22"/>
      <c r="C381" s="39"/>
      <c r="D381" s="22"/>
    </row>
    <row r="382" spans="2:4" ht="15.75" customHeight="1">
      <c r="B382" s="22"/>
      <c r="C382" s="39"/>
      <c r="D382" s="22"/>
    </row>
    <row r="383" spans="2:4" ht="15.75" customHeight="1">
      <c r="B383" s="22"/>
      <c r="C383" s="39"/>
      <c r="D383" s="22"/>
    </row>
    <row r="384" spans="2:4" ht="15.75" customHeight="1">
      <c r="B384" s="22"/>
      <c r="C384" s="39"/>
      <c r="D384" s="22"/>
    </row>
    <row r="385" spans="2:4" ht="15.75" customHeight="1">
      <c r="B385" s="22"/>
      <c r="C385" s="39"/>
      <c r="D385" s="22"/>
    </row>
    <row r="386" spans="2:4" ht="15.75" customHeight="1">
      <c r="B386" s="22"/>
      <c r="C386" s="39"/>
      <c r="D386" s="22"/>
    </row>
    <row r="387" spans="2:4" ht="15.75" customHeight="1">
      <c r="B387" s="22"/>
      <c r="C387" s="39"/>
      <c r="D387" s="22"/>
    </row>
    <row r="388" spans="2:4" ht="15.75" customHeight="1">
      <c r="B388" s="22"/>
      <c r="C388" s="39"/>
      <c r="D388" s="22"/>
    </row>
    <row r="389" spans="2:4" ht="15.75" customHeight="1">
      <c r="B389" s="22"/>
      <c r="C389" s="39"/>
      <c r="D389" s="22"/>
    </row>
    <row r="390" spans="2:4" ht="15.75" customHeight="1">
      <c r="B390" s="22"/>
      <c r="C390" s="39"/>
      <c r="D390" s="22"/>
    </row>
    <row r="391" spans="2:4" ht="15.75" customHeight="1">
      <c r="B391" s="22"/>
      <c r="C391" s="39"/>
      <c r="D391" s="22"/>
    </row>
    <row r="392" spans="2:4" ht="15.75" customHeight="1">
      <c r="B392" s="22"/>
      <c r="C392" s="39"/>
      <c r="D392" s="22"/>
    </row>
    <row r="393" spans="2:4" ht="15.75" customHeight="1">
      <c r="B393" s="22"/>
      <c r="C393" s="39"/>
      <c r="D393" s="22"/>
    </row>
    <row r="394" spans="2:4" ht="15.75" customHeight="1">
      <c r="B394" s="22"/>
      <c r="C394" s="39"/>
      <c r="D394" s="22"/>
    </row>
    <row r="395" spans="2:4" ht="15.75" customHeight="1">
      <c r="B395" s="22"/>
      <c r="C395" s="39"/>
      <c r="D395" s="22"/>
    </row>
    <row r="396" spans="2:4" ht="15.75" customHeight="1">
      <c r="B396" s="22"/>
      <c r="C396" s="39"/>
      <c r="D396" s="22"/>
    </row>
    <row r="397" spans="2:4" ht="15.75" customHeight="1">
      <c r="B397" s="22"/>
      <c r="C397" s="39"/>
      <c r="D397" s="22"/>
    </row>
    <row r="398" spans="2:4" ht="15.75" customHeight="1">
      <c r="B398" s="22"/>
      <c r="C398" s="39"/>
      <c r="D398" s="22"/>
    </row>
    <row r="399" spans="2:4" ht="15.75" customHeight="1">
      <c r="B399" s="22"/>
      <c r="C399" s="39"/>
      <c r="D399" s="22"/>
    </row>
    <row r="400" spans="2:4" ht="15.75" customHeight="1">
      <c r="B400" s="22"/>
      <c r="C400" s="39"/>
      <c r="D400" s="22"/>
    </row>
    <row r="401" spans="2:4" ht="15.75" customHeight="1">
      <c r="B401" s="22"/>
      <c r="C401" s="39"/>
      <c r="D401" s="22"/>
    </row>
    <row r="402" spans="2:4" ht="15.75" customHeight="1">
      <c r="B402" s="22"/>
      <c r="C402" s="39"/>
      <c r="D402" s="22"/>
    </row>
    <row r="403" spans="2:4" ht="15.75" customHeight="1">
      <c r="B403" s="22"/>
      <c r="C403" s="39"/>
      <c r="D403" s="22"/>
    </row>
    <row r="404" spans="2:4" ht="15.75" customHeight="1">
      <c r="B404" s="22"/>
      <c r="C404" s="39"/>
      <c r="D404" s="22"/>
    </row>
    <row r="405" spans="2:4" ht="15.75" customHeight="1">
      <c r="B405" s="22"/>
      <c r="C405" s="39"/>
      <c r="D405" s="22"/>
    </row>
    <row r="406" spans="2:4" ht="15.75" customHeight="1">
      <c r="B406" s="22"/>
      <c r="C406" s="39"/>
      <c r="D406" s="22"/>
    </row>
    <row r="407" spans="2:4" ht="15.75" customHeight="1">
      <c r="B407" s="22"/>
      <c r="C407" s="39"/>
      <c r="D407" s="22"/>
    </row>
    <row r="408" spans="2:4" ht="15.75" customHeight="1">
      <c r="B408" s="22"/>
      <c r="C408" s="39"/>
      <c r="D408" s="22"/>
    </row>
    <row r="409" spans="2:4" ht="15.75" customHeight="1">
      <c r="B409" s="22"/>
      <c r="C409" s="39"/>
      <c r="D409" s="22"/>
    </row>
    <row r="410" spans="2:4" ht="15.75" customHeight="1">
      <c r="B410" s="22"/>
      <c r="C410" s="39"/>
      <c r="D410" s="22"/>
    </row>
    <row r="411" spans="2:4" ht="15.75" customHeight="1">
      <c r="B411" s="22"/>
      <c r="C411" s="39"/>
      <c r="D411" s="22"/>
    </row>
    <row r="412" spans="2:4" ht="15.75" customHeight="1">
      <c r="B412" s="22"/>
      <c r="C412" s="39"/>
      <c r="D412" s="22"/>
    </row>
    <row r="413" spans="2:4" ht="15.75" customHeight="1">
      <c r="B413" s="22"/>
      <c r="C413" s="39"/>
      <c r="D413" s="22"/>
    </row>
    <row r="414" spans="2:4" ht="15.75" customHeight="1">
      <c r="B414" s="22"/>
      <c r="C414" s="39"/>
      <c r="D414" s="22"/>
    </row>
    <row r="415" spans="2:4" ht="15.75" customHeight="1">
      <c r="B415" s="22"/>
      <c r="C415" s="39"/>
      <c r="D415" s="22"/>
    </row>
    <row r="416" spans="2:4" ht="15.75" customHeight="1">
      <c r="B416" s="22"/>
      <c r="C416" s="39"/>
      <c r="D416" s="22"/>
    </row>
    <row r="417" spans="2:4" ht="15.75" customHeight="1">
      <c r="B417" s="22"/>
      <c r="C417" s="39"/>
      <c r="D417" s="22"/>
    </row>
    <row r="418" spans="2:4" ht="15.75" customHeight="1">
      <c r="B418" s="22"/>
      <c r="C418" s="39"/>
      <c r="D418" s="22"/>
    </row>
    <row r="419" spans="2:4" ht="15.75" customHeight="1">
      <c r="B419" s="22"/>
      <c r="C419" s="39"/>
      <c r="D419" s="22"/>
    </row>
    <row r="420" spans="2:4" ht="15.75" customHeight="1">
      <c r="B420" s="22"/>
      <c r="C420" s="39"/>
      <c r="D420" s="22"/>
    </row>
    <row r="421" spans="2:4" ht="15.75" customHeight="1">
      <c r="B421" s="22"/>
      <c r="C421" s="39"/>
      <c r="D421" s="22"/>
    </row>
    <row r="422" spans="2:4" ht="15.75" customHeight="1">
      <c r="B422" s="22"/>
      <c r="C422" s="39"/>
      <c r="D422" s="22"/>
    </row>
    <row r="423" spans="2:4" ht="15.75" customHeight="1">
      <c r="B423" s="22"/>
      <c r="C423" s="39"/>
      <c r="D423" s="22"/>
    </row>
    <row r="424" spans="2:4" ht="15.75" customHeight="1">
      <c r="B424" s="22"/>
      <c r="C424" s="39"/>
      <c r="D424" s="22"/>
    </row>
    <row r="425" spans="2:4" ht="15.75" customHeight="1">
      <c r="B425" s="22"/>
      <c r="C425" s="39"/>
      <c r="D425" s="22"/>
    </row>
    <row r="426" spans="2:4" ht="15.75" customHeight="1">
      <c r="B426" s="22"/>
      <c r="C426" s="39"/>
      <c r="D426" s="22"/>
    </row>
    <row r="427" spans="2:4" ht="15.75" customHeight="1">
      <c r="B427" s="22"/>
      <c r="C427" s="39"/>
      <c r="D427" s="22"/>
    </row>
    <row r="428" spans="2:4" ht="15.75" customHeight="1">
      <c r="B428" s="22"/>
      <c r="C428" s="39"/>
      <c r="D428" s="22"/>
    </row>
    <row r="429" spans="2:4" ht="15.75" customHeight="1">
      <c r="B429" s="22"/>
      <c r="C429" s="39"/>
      <c r="D429" s="22"/>
    </row>
    <row r="430" spans="2:4" ht="15.75" customHeight="1">
      <c r="B430" s="22"/>
      <c r="C430" s="39"/>
      <c r="D430" s="22"/>
    </row>
    <row r="431" spans="2:4" ht="15.75" customHeight="1">
      <c r="B431" s="22"/>
      <c r="C431" s="39"/>
      <c r="D431" s="22"/>
    </row>
    <row r="432" spans="2:4" ht="15.75" customHeight="1">
      <c r="B432" s="22"/>
      <c r="C432" s="39"/>
      <c r="D432" s="22"/>
    </row>
    <row r="433" spans="2:4" ht="15.75" customHeight="1">
      <c r="B433" s="22"/>
      <c r="C433" s="39"/>
      <c r="D433" s="22"/>
    </row>
    <row r="434" spans="2:4" ht="15.75" customHeight="1">
      <c r="B434" s="22"/>
      <c r="C434" s="39"/>
      <c r="D434" s="22"/>
    </row>
    <row r="435" spans="2:4" ht="15.75" customHeight="1">
      <c r="B435" s="22"/>
      <c r="C435" s="39"/>
      <c r="D435" s="22"/>
    </row>
    <row r="436" spans="2:4" ht="15.75" customHeight="1">
      <c r="B436" s="22"/>
      <c r="C436" s="39"/>
      <c r="D436" s="22"/>
    </row>
    <row r="437" spans="2:4" ht="15.75" customHeight="1">
      <c r="B437" s="22"/>
      <c r="C437" s="39"/>
      <c r="D437" s="22"/>
    </row>
    <row r="438" spans="2:4" ht="15.75" customHeight="1">
      <c r="B438" s="22"/>
      <c r="C438" s="39"/>
      <c r="D438" s="22"/>
    </row>
    <row r="439" spans="2:4" ht="15.75" customHeight="1">
      <c r="B439" s="22"/>
      <c r="C439" s="39"/>
      <c r="D439" s="22"/>
    </row>
    <row r="440" spans="2:4" ht="15.75" customHeight="1">
      <c r="B440" s="22"/>
      <c r="C440" s="39"/>
      <c r="D440" s="22"/>
    </row>
    <row r="441" spans="2:4" ht="15.75" customHeight="1">
      <c r="B441" s="22"/>
      <c r="C441" s="39"/>
      <c r="D441" s="22"/>
    </row>
    <row r="442" spans="2:4" ht="15.75" customHeight="1">
      <c r="B442" s="22"/>
      <c r="C442" s="39"/>
      <c r="D442" s="22"/>
    </row>
    <row r="443" spans="2:4" ht="15.75" customHeight="1">
      <c r="B443" s="22"/>
      <c r="C443" s="39"/>
      <c r="D443" s="22"/>
    </row>
    <row r="444" spans="2:4" ht="15.75" customHeight="1">
      <c r="B444" s="22"/>
      <c r="C444" s="39"/>
      <c r="D444" s="22"/>
    </row>
    <row r="445" spans="2:4" ht="15.75" customHeight="1">
      <c r="B445" s="22"/>
      <c r="C445" s="39"/>
      <c r="D445" s="22"/>
    </row>
    <row r="446" spans="2:4" ht="15.75" customHeight="1">
      <c r="B446" s="22"/>
      <c r="C446" s="39"/>
      <c r="D446" s="22"/>
    </row>
    <row r="447" spans="2:4" ht="15.75" customHeight="1">
      <c r="B447" s="22"/>
      <c r="C447" s="39"/>
      <c r="D447" s="22"/>
    </row>
    <row r="448" spans="2:4" ht="15.75" customHeight="1">
      <c r="B448" s="22"/>
      <c r="C448" s="39"/>
      <c r="D448" s="22"/>
    </row>
    <row r="449" spans="2:4" ht="15.75" customHeight="1">
      <c r="B449" s="22"/>
      <c r="C449" s="39"/>
      <c r="D449" s="22"/>
    </row>
    <row r="450" spans="2:4" ht="15.75" customHeight="1">
      <c r="B450" s="22"/>
      <c r="C450" s="39"/>
      <c r="D450" s="22"/>
    </row>
    <row r="451" spans="2:4" ht="15.75" customHeight="1">
      <c r="B451" s="22"/>
      <c r="C451" s="39"/>
      <c r="D451" s="22"/>
    </row>
    <row r="452" spans="2:4" ht="15.75" customHeight="1">
      <c r="B452" s="22"/>
      <c r="C452" s="39"/>
      <c r="D452" s="22"/>
    </row>
    <row r="453" spans="2:4" ht="15.75" customHeight="1">
      <c r="B453" s="22"/>
      <c r="C453" s="39"/>
      <c r="D453" s="22"/>
    </row>
    <row r="454" spans="2:4" ht="15.75" customHeight="1">
      <c r="B454" s="22"/>
      <c r="C454" s="39"/>
      <c r="D454" s="22"/>
    </row>
    <row r="455" spans="2:4" ht="15.75" customHeight="1">
      <c r="B455" s="22"/>
      <c r="C455" s="39"/>
      <c r="D455" s="22"/>
    </row>
    <row r="456" spans="2:4" ht="15.75" customHeight="1">
      <c r="B456" s="22"/>
      <c r="C456" s="39"/>
      <c r="D456" s="22"/>
    </row>
    <row r="457" spans="2:4" ht="15.75" customHeight="1">
      <c r="B457" s="22"/>
      <c r="C457" s="39"/>
      <c r="D457" s="22"/>
    </row>
    <row r="458" spans="2:4" ht="15.75" customHeight="1">
      <c r="B458" s="22"/>
      <c r="C458" s="39"/>
      <c r="D458" s="22"/>
    </row>
    <row r="459" spans="2:4" ht="15.75" customHeight="1">
      <c r="B459" s="22"/>
      <c r="C459" s="39"/>
      <c r="D459" s="22"/>
    </row>
    <row r="460" spans="2:4" ht="15.75" customHeight="1">
      <c r="B460" s="22"/>
      <c r="C460" s="39"/>
      <c r="D460" s="22"/>
    </row>
    <row r="461" spans="2:4" ht="15.75" customHeight="1">
      <c r="B461" s="22"/>
      <c r="C461" s="39"/>
      <c r="D461" s="22"/>
    </row>
    <row r="462" spans="2:4" ht="15.75" customHeight="1">
      <c r="B462" s="22"/>
      <c r="C462" s="39"/>
      <c r="D462" s="22"/>
    </row>
    <row r="463" spans="2:4" ht="15.75" customHeight="1">
      <c r="B463" s="22"/>
      <c r="C463" s="39"/>
      <c r="D463" s="22"/>
    </row>
    <row r="464" spans="2:4" ht="15.75" customHeight="1">
      <c r="B464" s="22"/>
      <c r="C464" s="39"/>
      <c r="D464" s="22"/>
    </row>
    <row r="465" spans="2:4" ht="15.75" customHeight="1">
      <c r="B465" s="22"/>
      <c r="C465" s="39"/>
      <c r="D465" s="22"/>
    </row>
    <row r="466" spans="2:4" ht="15.75" customHeight="1">
      <c r="B466" s="22"/>
      <c r="C466" s="39"/>
      <c r="D466" s="22"/>
    </row>
    <row r="467" spans="2:4" ht="15.75" customHeight="1">
      <c r="B467" s="22"/>
      <c r="C467" s="39"/>
      <c r="D467" s="22"/>
    </row>
    <row r="468" spans="2:4" ht="15.75" customHeight="1">
      <c r="B468" s="22"/>
      <c r="C468" s="39"/>
      <c r="D468" s="22"/>
    </row>
    <row r="469" spans="2:4" ht="15.75" customHeight="1">
      <c r="B469" s="22"/>
      <c r="C469" s="39"/>
      <c r="D469" s="22"/>
    </row>
    <row r="470" spans="2:4" ht="15.75" customHeight="1">
      <c r="B470" s="22"/>
      <c r="C470" s="39"/>
      <c r="D470" s="22"/>
    </row>
    <row r="471" spans="2:4" ht="15.75" customHeight="1">
      <c r="B471" s="22"/>
      <c r="C471" s="39"/>
      <c r="D471" s="22"/>
    </row>
    <row r="472" spans="2:4" ht="15.75" customHeight="1">
      <c r="B472" s="22"/>
      <c r="C472" s="39"/>
      <c r="D472" s="22"/>
    </row>
    <row r="473" spans="2:4" ht="15.75" customHeight="1">
      <c r="B473" s="22"/>
      <c r="C473" s="39"/>
      <c r="D473" s="22"/>
    </row>
    <row r="474" spans="2:4" ht="15.75" customHeight="1">
      <c r="B474" s="22"/>
      <c r="C474" s="39"/>
      <c r="D474" s="22"/>
    </row>
    <row r="475" spans="2:4" ht="15.75" customHeight="1">
      <c r="B475" s="22"/>
      <c r="C475" s="39"/>
      <c r="D475" s="22"/>
    </row>
    <row r="476" spans="2:4" ht="15.75" customHeight="1">
      <c r="B476" s="22"/>
      <c r="C476" s="39"/>
      <c r="D476" s="22"/>
    </row>
    <row r="477" spans="2:4" ht="15.75" customHeight="1">
      <c r="B477" s="22"/>
      <c r="C477" s="39"/>
      <c r="D477" s="22"/>
    </row>
    <row r="478" spans="2:4" ht="15.75" customHeight="1">
      <c r="B478" s="22"/>
      <c r="C478" s="39"/>
      <c r="D478" s="22"/>
    </row>
    <row r="479" spans="2:4" ht="15.75" customHeight="1">
      <c r="B479" s="22"/>
      <c r="C479" s="39"/>
      <c r="D479" s="22"/>
    </row>
    <row r="480" spans="2:4" ht="15.75" customHeight="1">
      <c r="B480" s="22"/>
      <c r="C480" s="39"/>
      <c r="D480" s="22"/>
    </row>
    <row r="481" spans="2:4" ht="15.75" customHeight="1">
      <c r="B481" s="22"/>
      <c r="C481" s="39"/>
      <c r="D481" s="22"/>
    </row>
    <row r="482" spans="2:4" ht="15.75" customHeight="1">
      <c r="B482" s="22"/>
      <c r="C482" s="39"/>
      <c r="D482" s="22"/>
    </row>
    <row r="483" spans="2:4" ht="15.75" customHeight="1">
      <c r="B483" s="22"/>
      <c r="C483" s="39"/>
      <c r="D483" s="22"/>
    </row>
    <row r="484" spans="2:4" ht="15.75" customHeight="1">
      <c r="B484" s="22"/>
      <c r="C484" s="39"/>
      <c r="D484" s="22"/>
    </row>
    <row r="485" spans="2:4" ht="15.75" customHeight="1">
      <c r="B485" s="22"/>
      <c r="C485" s="39"/>
      <c r="D485" s="22"/>
    </row>
    <row r="486" spans="2:4" ht="15.75" customHeight="1">
      <c r="B486" s="22"/>
      <c r="C486" s="39"/>
      <c r="D486" s="22"/>
    </row>
    <row r="487" spans="2:4" ht="15.75" customHeight="1">
      <c r="B487" s="22"/>
      <c r="C487" s="39"/>
      <c r="D487" s="22"/>
    </row>
    <row r="488" spans="2:4" ht="15.75" customHeight="1">
      <c r="B488" s="22"/>
      <c r="C488" s="39"/>
      <c r="D488" s="22"/>
    </row>
    <row r="489" spans="2:4" ht="15.75" customHeight="1">
      <c r="B489" s="22"/>
      <c r="C489" s="39"/>
      <c r="D489" s="22"/>
    </row>
    <row r="490" spans="2:4" ht="15.75" customHeight="1">
      <c r="B490" s="22"/>
      <c r="C490" s="39"/>
      <c r="D490" s="22"/>
    </row>
    <row r="491" spans="2:4" ht="15.75" customHeight="1">
      <c r="B491" s="22"/>
      <c r="C491" s="39"/>
      <c r="D491" s="22"/>
    </row>
    <row r="492" spans="2:4" ht="15.75" customHeight="1">
      <c r="B492" s="22"/>
      <c r="C492" s="39"/>
      <c r="D492" s="22"/>
    </row>
    <row r="493" spans="2:4" ht="15.75" customHeight="1">
      <c r="B493" s="22"/>
      <c r="C493" s="39"/>
      <c r="D493" s="22"/>
    </row>
    <row r="494" spans="2:4" ht="15.75" customHeight="1">
      <c r="B494" s="22"/>
      <c r="C494" s="39"/>
      <c r="D494" s="22"/>
    </row>
    <row r="495" spans="2:4" ht="15.75" customHeight="1">
      <c r="B495" s="22"/>
      <c r="C495" s="39"/>
      <c r="D495" s="22"/>
    </row>
    <row r="496" spans="2:4" ht="15.75" customHeight="1">
      <c r="B496" s="22"/>
      <c r="C496" s="39"/>
      <c r="D496" s="22"/>
    </row>
    <row r="497" spans="2:4" ht="15.75" customHeight="1">
      <c r="B497" s="22"/>
      <c r="C497" s="39"/>
      <c r="D497" s="22"/>
    </row>
    <row r="498" spans="2:4" ht="15.75" customHeight="1">
      <c r="B498" s="22"/>
      <c r="C498" s="39"/>
      <c r="D498" s="22"/>
    </row>
    <row r="499" spans="2:4" ht="15.75" customHeight="1">
      <c r="B499" s="22"/>
      <c r="C499" s="39"/>
      <c r="D499" s="22"/>
    </row>
    <row r="500" spans="2:4" ht="15.75" customHeight="1">
      <c r="B500" s="22"/>
      <c r="C500" s="39"/>
      <c r="D500" s="22"/>
    </row>
    <row r="501" spans="2:4" ht="15.75" customHeight="1">
      <c r="B501" s="22"/>
      <c r="C501" s="39"/>
      <c r="D501" s="22"/>
    </row>
    <row r="502" spans="2:4" ht="15.75" customHeight="1">
      <c r="B502" s="22"/>
      <c r="C502" s="39"/>
      <c r="D502" s="22"/>
    </row>
    <row r="503" spans="2:4" ht="15.75" customHeight="1">
      <c r="B503" s="22"/>
      <c r="C503" s="39"/>
      <c r="D503" s="22"/>
    </row>
    <row r="504" spans="2:4" ht="15.75" customHeight="1">
      <c r="B504" s="22"/>
      <c r="C504" s="39"/>
      <c r="D504" s="22"/>
    </row>
    <row r="505" spans="2:4" ht="15.75" customHeight="1">
      <c r="B505" s="22"/>
      <c r="C505" s="39"/>
      <c r="D505" s="22"/>
    </row>
    <row r="506" spans="2:4" ht="15.75" customHeight="1">
      <c r="B506" s="22"/>
      <c r="C506" s="39"/>
      <c r="D506" s="22"/>
    </row>
    <row r="507" spans="2:4" ht="15.75" customHeight="1">
      <c r="B507" s="22"/>
      <c r="C507" s="39"/>
      <c r="D507" s="22"/>
    </row>
    <row r="508" spans="2:4" ht="15.75" customHeight="1">
      <c r="B508" s="22"/>
      <c r="C508" s="39"/>
      <c r="D508" s="22"/>
    </row>
    <row r="509" spans="2:4" ht="15.75" customHeight="1">
      <c r="B509" s="22"/>
      <c r="C509" s="39"/>
      <c r="D509" s="22"/>
    </row>
    <row r="510" spans="2:4" ht="15.75" customHeight="1">
      <c r="B510" s="22"/>
      <c r="C510" s="39"/>
      <c r="D510" s="22"/>
    </row>
    <row r="511" spans="2:4" ht="15.75" customHeight="1">
      <c r="B511" s="22"/>
      <c r="C511" s="39"/>
      <c r="D511" s="22"/>
    </row>
    <row r="512" spans="2:4" ht="15.75" customHeight="1">
      <c r="B512" s="22"/>
      <c r="C512" s="39"/>
      <c r="D512" s="22"/>
    </row>
    <row r="513" spans="2:4" ht="15.75" customHeight="1">
      <c r="B513" s="22"/>
      <c r="C513" s="39"/>
      <c r="D513" s="22"/>
    </row>
    <row r="514" spans="2:4" ht="15.75" customHeight="1">
      <c r="B514" s="22"/>
      <c r="C514" s="39"/>
      <c r="D514" s="22"/>
    </row>
    <row r="515" spans="2:4" ht="15.75" customHeight="1">
      <c r="B515" s="22"/>
      <c r="C515" s="39"/>
      <c r="D515" s="22"/>
    </row>
    <row r="516" spans="2:4" ht="15.75" customHeight="1">
      <c r="B516" s="22"/>
      <c r="C516" s="39"/>
      <c r="D516" s="22"/>
    </row>
    <row r="517" spans="2:4" ht="15.75" customHeight="1">
      <c r="B517" s="22"/>
      <c r="C517" s="39"/>
      <c r="D517" s="22"/>
    </row>
    <row r="518" spans="2:4" ht="15.75" customHeight="1">
      <c r="B518" s="22"/>
      <c r="C518" s="39"/>
      <c r="D518" s="22"/>
    </row>
    <row r="519" spans="2:4" ht="15.75" customHeight="1">
      <c r="B519" s="22"/>
      <c r="C519" s="39"/>
      <c r="D519" s="22"/>
    </row>
    <row r="520" spans="2:4" ht="15.75" customHeight="1">
      <c r="B520" s="22"/>
      <c r="C520" s="39"/>
      <c r="D520" s="22"/>
    </row>
    <row r="521" spans="2:4" ht="15.75" customHeight="1">
      <c r="B521" s="22"/>
      <c r="C521" s="39"/>
      <c r="D521" s="22"/>
    </row>
    <row r="522" spans="2:4" ht="15.75" customHeight="1">
      <c r="B522" s="22"/>
      <c r="C522" s="39"/>
      <c r="D522" s="22"/>
    </row>
    <row r="523" spans="2:4" ht="15.75" customHeight="1">
      <c r="B523" s="22"/>
      <c r="C523" s="39"/>
      <c r="D523" s="22"/>
    </row>
    <row r="524" spans="2:4" ht="15.75" customHeight="1">
      <c r="B524" s="22"/>
      <c r="C524" s="39"/>
      <c r="D524" s="22"/>
    </row>
    <row r="525" spans="2:4" ht="15.75" customHeight="1">
      <c r="B525" s="22"/>
      <c r="C525" s="39"/>
      <c r="D525" s="22"/>
    </row>
    <row r="526" spans="2:4" ht="15.75" customHeight="1">
      <c r="B526" s="22"/>
      <c r="C526" s="39"/>
      <c r="D526" s="22"/>
    </row>
    <row r="527" spans="2:4" ht="15.75" customHeight="1">
      <c r="B527" s="22"/>
      <c r="C527" s="39"/>
      <c r="D527" s="22"/>
    </row>
    <row r="528" spans="2:4" ht="15.75" customHeight="1">
      <c r="B528" s="22"/>
      <c r="C528" s="39"/>
      <c r="D528" s="22"/>
    </row>
    <row r="529" spans="2:4" ht="15.75" customHeight="1">
      <c r="B529" s="22"/>
      <c r="C529" s="39"/>
      <c r="D529" s="22"/>
    </row>
    <row r="530" spans="2:4" ht="15.75" customHeight="1">
      <c r="B530" s="22"/>
      <c r="C530" s="39"/>
      <c r="D530" s="22"/>
    </row>
    <row r="531" spans="2:4" ht="15.75" customHeight="1">
      <c r="B531" s="22"/>
      <c r="C531" s="39"/>
      <c r="D531" s="22"/>
    </row>
    <row r="532" spans="2:4" ht="15.75" customHeight="1">
      <c r="B532" s="22"/>
      <c r="C532" s="39"/>
      <c r="D532" s="22"/>
    </row>
    <row r="533" spans="2:4" ht="15.75" customHeight="1">
      <c r="B533" s="22"/>
      <c r="C533" s="39"/>
      <c r="D533" s="22"/>
    </row>
    <row r="534" spans="2:4" ht="15.75" customHeight="1">
      <c r="B534" s="22"/>
      <c r="C534" s="39"/>
      <c r="D534" s="22"/>
    </row>
    <row r="535" spans="2:4" ht="15.75" customHeight="1">
      <c r="B535" s="22"/>
      <c r="C535" s="39"/>
      <c r="D535" s="22"/>
    </row>
    <row r="536" spans="2:4" ht="15.75" customHeight="1">
      <c r="B536" s="22"/>
      <c r="C536" s="39"/>
      <c r="D536" s="22"/>
    </row>
    <row r="537" spans="2:4" ht="15.75" customHeight="1">
      <c r="B537" s="22"/>
      <c r="C537" s="39"/>
      <c r="D537" s="22"/>
    </row>
    <row r="538" spans="2:4" ht="15.75" customHeight="1">
      <c r="B538" s="22"/>
      <c r="C538" s="39"/>
      <c r="D538" s="22"/>
    </row>
    <row r="539" spans="2:4" ht="15.75" customHeight="1">
      <c r="B539" s="22"/>
      <c r="C539" s="39"/>
      <c r="D539" s="22"/>
    </row>
    <row r="540" spans="2:4" ht="15.75" customHeight="1">
      <c r="B540" s="22"/>
      <c r="C540" s="39"/>
      <c r="D540" s="22"/>
    </row>
    <row r="541" spans="2:4" ht="15.75" customHeight="1">
      <c r="B541" s="22"/>
      <c r="C541" s="39"/>
      <c r="D541" s="22"/>
    </row>
    <row r="542" spans="2:4" ht="15.75" customHeight="1">
      <c r="B542" s="22"/>
      <c r="C542" s="39"/>
      <c r="D542" s="22"/>
    </row>
    <row r="543" spans="2:4" ht="15.75" customHeight="1">
      <c r="B543" s="22"/>
      <c r="C543" s="39"/>
      <c r="D543" s="22"/>
    </row>
    <row r="544" spans="2:4" ht="15.75" customHeight="1">
      <c r="B544" s="22"/>
      <c r="C544" s="39"/>
      <c r="D544" s="22"/>
    </row>
    <row r="545" spans="2:4" ht="15.75" customHeight="1">
      <c r="B545" s="22"/>
      <c r="C545" s="39"/>
      <c r="D545" s="22"/>
    </row>
    <row r="546" spans="2:4" ht="15.75" customHeight="1">
      <c r="B546" s="22"/>
      <c r="C546" s="39"/>
      <c r="D546" s="22"/>
    </row>
    <row r="547" spans="2:4" ht="15.75" customHeight="1">
      <c r="B547" s="22"/>
      <c r="C547" s="39"/>
      <c r="D547" s="22"/>
    </row>
    <row r="548" spans="2:4" ht="15.75" customHeight="1">
      <c r="B548" s="22"/>
      <c r="C548" s="39"/>
      <c r="D548" s="22"/>
    </row>
    <row r="549" spans="2:4" ht="15.75" customHeight="1">
      <c r="B549" s="22"/>
      <c r="C549" s="39"/>
      <c r="D549" s="22"/>
    </row>
    <row r="550" spans="2:4" ht="15.75" customHeight="1">
      <c r="B550" s="22"/>
      <c r="C550" s="39"/>
      <c r="D550" s="22"/>
    </row>
    <row r="551" spans="2:4" ht="15.75" customHeight="1">
      <c r="B551" s="22"/>
      <c r="C551" s="39"/>
      <c r="D551" s="22"/>
    </row>
    <row r="552" spans="2:4" ht="15.75" customHeight="1">
      <c r="B552" s="22"/>
      <c r="C552" s="39"/>
      <c r="D552" s="22"/>
    </row>
    <row r="553" spans="2:4" ht="15.75" customHeight="1">
      <c r="B553" s="22"/>
      <c r="C553" s="39"/>
      <c r="D553" s="22"/>
    </row>
    <row r="554" spans="2:4" ht="15.75" customHeight="1">
      <c r="B554" s="22"/>
      <c r="C554" s="39"/>
      <c r="D554" s="22"/>
    </row>
    <row r="555" spans="2:4" ht="15.75" customHeight="1">
      <c r="B555" s="22"/>
      <c r="C555" s="39"/>
      <c r="D555" s="22"/>
    </row>
    <row r="556" spans="2:4" ht="15.75" customHeight="1">
      <c r="B556" s="22"/>
      <c r="C556" s="39"/>
      <c r="D556" s="22"/>
    </row>
    <row r="557" spans="2:4" ht="15.75" customHeight="1">
      <c r="B557" s="22"/>
      <c r="C557" s="39"/>
      <c r="D557" s="22"/>
    </row>
    <row r="558" spans="2:4" ht="15.75" customHeight="1">
      <c r="B558" s="22"/>
      <c r="C558" s="39"/>
      <c r="D558" s="22"/>
    </row>
    <row r="559" spans="2:4" ht="15.75" customHeight="1">
      <c r="B559" s="22"/>
      <c r="C559" s="39"/>
      <c r="D559" s="22"/>
    </row>
    <row r="560" spans="2:4" ht="15.75" customHeight="1">
      <c r="B560" s="22"/>
      <c r="C560" s="39"/>
      <c r="D560" s="22"/>
    </row>
    <row r="561" spans="2:4" ht="15.75" customHeight="1">
      <c r="B561" s="22"/>
      <c r="C561" s="39"/>
      <c r="D561" s="22"/>
    </row>
    <row r="562" spans="2:4" ht="15.75" customHeight="1">
      <c r="B562" s="22"/>
      <c r="C562" s="39"/>
      <c r="D562" s="22"/>
    </row>
    <row r="563" spans="2:4" ht="15.75" customHeight="1">
      <c r="B563" s="22"/>
      <c r="C563" s="39"/>
      <c r="D563" s="22"/>
    </row>
    <row r="564" spans="2:4" ht="15.75" customHeight="1">
      <c r="B564" s="22"/>
      <c r="C564" s="39"/>
      <c r="D564" s="22"/>
    </row>
    <row r="565" spans="2:4" ht="15.75" customHeight="1">
      <c r="B565" s="22"/>
      <c r="C565" s="39"/>
      <c r="D565" s="22"/>
    </row>
    <row r="566" spans="2:4" ht="15.75" customHeight="1">
      <c r="B566" s="22"/>
      <c r="C566" s="39"/>
      <c r="D566" s="22"/>
    </row>
    <row r="567" spans="2:4" ht="15.75" customHeight="1">
      <c r="B567" s="22"/>
      <c r="C567" s="39"/>
      <c r="D567" s="22"/>
    </row>
    <row r="568" spans="2:4" ht="15.75" customHeight="1">
      <c r="B568" s="22"/>
      <c r="C568" s="39"/>
      <c r="D568" s="22"/>
    </row>
    <row r="569" spans="2:4" ht="15.75" customHeight="1">
      <c r="B569" s="22"/>
      <c r="C569" s="39"/>
      <c r="D569" s="22"/>
    </row>
    <row r="570" spans="2:4" ht="15.75" customHeight="1">
      <c r="B570" s="22"/>
      <c r="C570" s="39"/>
      <c r="D570" s="22"/>
    </row>
    <row r="571" spans="2:4" ht="15.75" customHeight="1">
      <c r="B571" s="22"/>
      <c r="C571" s="39"/>
      <c r="D571" s="22"/>
    </row>
    <row r="572" spans="2:4" ht="15.75" customHeight="1">
      <c r="B572" s="22"/>
      <c r="C572" s="39"/>
      <c r="D572" s="22"/>
    </row>
    <row r="573" spans="2:4" ht="15.75" customHeight="1">
      <c r="B573" s="22"/>
      <c r="C573" s="39"/>
      <c r="D573" s="22"/>
    </row>
    <row r="574" spans="2:4" ht="15.75" customHeight="1">
      <c r="B574" s="22"/>
      <c r="C574" s="39"/>
      <c r="D574" s="22"/>
    </row>
    <row r="575" spans="2:4" ht="15.75" customHeight="1">
      <c r="B575" s="22"/>
      <c r="C575" s="39"/>
      <c r="D575" s="22"/>
    </row>
    <row r="576" spans="2:4" ht="15.75" customHeight="1">
      <c r="B576" s="22"/>
      <c r="C576" s="39"/>
      <c r="D576" s="22"/>
    </row>
    <row r="577" spans="2:4" ht="15.75" customHeight="1">
      <c r="B577" s="22"/>
      <c r="C577" s="39"/>
      <c r="D577" s="22"/>
    </row>
    <row r="578" spans="2:4" ht="15.75" customHeight="1">
      <c r="B578" s="22"/>
      <c r="C578" s="39"/>
      <c r="D578" s="22"/>
    </row>
    <row r="579" spans="2:4" ht="15.75" customHeight="1">
      <c r="B579" s="22"/>
      <c r="C579" s="39"/>
      <c r="D579" s="22"/>
    </row>
    <row r="580" spans="2:4" ht="15.75" customHeight="1">
      <c r="B580" s="22"/>
      <c r="C580" s="39"/>
      <c r="D580" s="22"/>
    </row>
    <row r="581" spans="2:4" ht="15.75" customHeight="1">
      <c r="B581" s="22"/>
      <c r="C581" s="39"/>
      <c r="D581" s="22"/>
    </row>
    <row r="582" spans="2:4" ht="15.75" customHeight="1">
      <c r="B582" s="22"/>
      <c r="C582" s="39"/>
      <c r="D582" s="22"/>
    </row>
    <row r="583" spans="2:4" ht="15.75" customHeight="1">
      <c r="B583" s="22"/>
      <c r="C583" s="39"/>
      <c r="D583" s="22"/>
    </row>
    <row r="584" spans="2:4" ht="15.75" customHeight="1">
      <c r="B584" s="22"/>
      <c r="C584" s="39"/>
      <c r="D584" s="22"/>
    </row>
    <row r="585" spans="2:4" ht="15.75" customHeight="1">
      <c r="B585" s="22"/>
      <c r="C585" s="39"/>
      <c r="D585" s="22"/>
    </row>
    <row r="586" spans="2:4" ht="15.75" customHeight="1">
      <c r="B586" s="22"/>
      <c r="C586" s="39"/>
      <c r="D586" s="22"/>
    </row>
    <row r="587" spans="2:4" ht="15.75" customHeight="1">
      <c r="B587" s="22"/>
      <c r="C587" s="39"/>
      <c r="D587" s="22"/>
    </row>
    <row r="588" spans="2:4" ht="15.75" customHeight="1">
      <c r="B588" s="22"/>
      <c r="C588" s="39"/>
      <c r="D588" s="22"/>
    </row>
    <row r="589" spans="2:4" ht="15.75" customHeight="1">
      <c r="B589" s="22"/>
      <c r="C589" s="39"/>
      <c r="D589" s="22"/>
    </row>
    <row r="590" spans="2:4" ht="15.75" customHeight="1">
      <c r="B590" s="22"/>
      <c r="C590" s="39"/>
      <c r="D590" s="22"/>
    </row>
    <row r="591" spans="2:4" ht="15.75" customHeight="1">
      <c r="B591" s="22"/>
      <c r="C591" s="39"/>
      <c r="D591" s="22"/>
    </row>
    <row r="592" spans="2:4" ht="15.75" customHeight="1">
      <c r="B592" s="22"/>
      <c r="C592" s="39"/>
      <c r="D592" s="22"/>
    </row>
    <row r="593" spans="2:4" ht="15.75" customHeight="1">
      <c r="B593" s="22"/>
      <c r="C593" s="39"/>
      <c r="D593" s="22"/>
    </row>
    <row r="594" spans="2:4" ht="15.75" customHeight="1">
      <c r="B594" s="22"/>
      <c r="C594" s="39"/>
      <c r="D594" s="22"/>
    </row>
    <row r="595" spans="2:4" ht="15.75" customHeight="1">
      <c r="B595" s="22"/>
      <c r="C595" s="39"/>
      <c r="D595" s="22"/>
    </row>
    <row r="596" spans="2:4" ht="15.75" customHeight="1">
      <c r="B596" s="22"/>
      <c r="C596" s="39"/>
      <c r="D596" s="22"/>
    </row>
    <row r="597" spans="2:4" ht="15.75" customHeight="1">
      <c r="B597" s="22"/>
      <c r="C597" s="39"/>
      <c r="D597" s="22"/>
    </row>
    <row r="598" spans="2:4" ht="15.75" customHeight="1">
      <c r="B598" s="22"/>
      <c r="C598" s="39"/>
      <c r="D598" s="22"/>
    </row>
    <row r="599" spans="2:4" ht="15.75" customHeight="1">
      <c r="B599" s="22"/>
      <c r="C599" s="39"/>
      <c r="D599" s="22"/>
    </row>
    <row r="600" spans="2:4" ht="15.75" customHeight="1">
      <c r="B600" s="22"/>
      <c r="C600" s="39"/>
      <c r="D600" s="22"/>
    </row>
    <row r="601" spans="2:4" ht="15.75" customHeight="1">
      <c r="B601" s="22"/>
      <c r="C601" s="39"/>
      <c r="D601" s="22"/>
    </row>
    <row r="602" spans="2:4" ht="15.75" customHeight="1">
      <c r="B602" s="22"/>
      <c r="C602" s="39"/>
      <c r="D602" s="22"/>
    </row>
    <row r="603" spans="2:4" ht="15.75" customHeight="1">
      <c r="B603" s="22"/>
      <c r="C603" s="39"/>
      <c r="D603" s="22"/>
    </row>
    <row r="604" spans="2:4" ht="15.75" customHeight="1">
      <c r="B604" s="22"/>
      <c r="C604" s="39"/>
      <c r="D604" s="22"/>
    </row>
    <row r="605" spans="2:4" ht="15.75" customHeight="1">
      <c r="B605" s="22"/>
      <c r="C605" s="39"/>
      <c r="D605" s="22"/>
    </row>
    <row r="606" spans="2:4" ht="15.75" customHeight="1">
      <c r="B606" s="22"/>
      <c r="C606" s="39"/>
      <c r="D606" s="22"/>
    </row>
    <row r="607" spans="2:4" ht="15.75" customHeight="1">
      <c r="B607" s="22"/>
      <c r="C607" s="39"/>
      <c r="D607" s="22"/>
    </row>
    <row r="608" spans="2:4" ht="15.75" customHeight="1">
      <c r="B608" s="22"/>
      <c r="C608" s="39"/>
      <c r="D608" s="22"/>
    </row>
    <row r="609" spans="2:4" ht="15.75" customHeight="1">
      <c r="B609" s="22"/>
      <c r="C609" s="39"/>
      <c r="D609" s="22"/>
    </row>
    <row r="610" spans="2:4" ht="15.75" customHeight="1">
      <c r="B610" s="22"/>
      <c r="C610" s="39"/>
      <c r="D610" s="22"/>
    </row>
    <row r="611" spans="2:4" ht="15.75" customHeight="1">
      <c r="B611" s="22"/>
      <c r="C611" s="39"/>
      <c r="D611" s="22"/>
    </row>
    <row r="612" spans="2:4" ht="15.75" customHeight="1">
      <c r="B612" s="22"/>
      <c r="C612" s="39"/>
      <c r="D612" s="22"/>
    </row>
    <row r="613" spans="2:4" ht="15.75" customHeight="1">
      <c r="B613" s="22"/>
      <c r="C613" s="39"/>
      <c r="D613" s="22"/>
    </row>
    <row r="614" spans="2:4" ht="15.75" customHeight="1">
      <c r="B614" s="22"/>
      <c r="C614" s="39"/>
      <c r="D614" s="22"/>
    </row>
    <row r="615" spans="2:4" ht="15.75" customHeight="1">
      <c r="B615" s="22"/>
      <c r="C615" s="39"/>
      <c r="D615" s="22"/>
    </row>
    <row r="616" spans="2:4" ht="15.75" customHeight="1">
      <c r="B616" s="22"/>
      <c r="C616" s="39"/>
      <c r="D616" s="22"/>
    </row>
    <row r="617" spans="2:4" ht="15.75" customHeight="1">
      <c r="B617" s="22"/>
      <c r="C617" s="39"/>
      <c r="D617" s="22"/>
    </row>
    <row r="618" spans="2:4" ht="15.75" customHeight="1">
      <c r="B618" s="22"/>
      <c r="C618" s="39"/>
      <c r="D618" s="22"/>
    </row>
    <row r="619" spans="2:4" ht="15.75" customHeight="1">
      <c r="B619" s="22"/>
      <c r="C619" s="39"/>
      <c r="D619" s="22"/>
    </row>
    <row r="620" spans="2:4" ht="15.75" customHeight="1">
      <c r="B620" s="22"/>
      <c r="C620" s="39"/>
      <c r="D620" s="22"/>
    </row>
    <row r="621" spans="2:4" ht="15.75" customHeight="1">
      <c r="B621" s="22"/>
      <c r="C621" s="39"/>
      <c r="D621" s="22"/>
    </row>
    <row r="622" spans="2:4" ht="15.75" customHeight="1">
      <c r="B622" s="22"/>
      <c r="C622" s="39"/>
      <c r="D622" s="22"/>
    </row>
    <row r="623" spans="2:4" ht="15.75" customHeight="1">
      <c r="B623" s="22"/>
      <c r="C623" s="39"/>
      <c r="D623" s="22"/>
    </row>
    <row r="624" spans="2:4" ht="15.75" customHeight="1">
      <c r="B624" s="22"/>
      <c r="C624" s="39"/>
      <c r="D624" s="22"/>
    </row>
    <row r="625" spans="2:4" ht="15.75" customHeight="1">
      <c r="B625" s="22"/>
      <c r="C625" s="39"/>
      <c r="D625" s="22"/>
    </row>
    <row r="626" spans="2:4" ht="15.75" customHeight="1">
      <c r="B626" s="22"/>
      <c r="C626" s="39"/>
      <c r="D626" s="22"/>
    </row>
    <row r="627" spans="2:4" ht="15.75" customHeight="1">
      <c r="B627" s="22"/>
      <c r="C627" s="39"/>
      <c r="D627" s="22"/>
    </row>
    <row r="628" spans="2:4" ht="15.75" customHeight="1">
      <c r="B628" s="22"/>
      <c r="C628" s="39"/>
      <c r="D628" s="22"/>
    </row>
    <row r="629" spans="2:4" ht="15.75" customHeight="1">
      <c r="B629" s="22"/>
      <c r="C629" s="39"/>
      <c r="D629" s="22"/>
    </row>
    <row r="630" spans="2:4" ht="15.75" customHeight="1">
      <c r="B630" s="22"/>
      <c r="C630" s="39"/>
      <c r="D630" s="22"/>
    </row>
    <row r="631" spans="2:4" ht="15.75" customHeight="1">
      <c r="B631" s="22"/>
      <c r="C631" s="39"/>
      <c r="D631" s="22"/>
    </row>
    <row r="632" spans="2:4" ht="15.75" customHeight="1">
      <c r="B632" s="22"/>
      <c r="C632" s="39"/>
      <c r="D632" s="22"/>
    </row>
    <row r="633" spans="2:4" ht="15.75" customHeight="1">
      <c r="B633" s="22"/>
      <c r="C633" s="39"/>
      <c r="D633" s="22"/>
    </row>
    <row r="634" spans="2:4" ht="15.75" customHeight="1">
      <c r="B634" s="22"/>
      <c r="C634" s="39"/>
      <c r="D634" s="22"/>
    </row>
    <row r="635" spans="2:4" ht="15.75" customHeight="1">
      <c r="B635" s="22"/>
      <c r="C635" s="39"/>
      <c r="D635" s="22"/>
    </row>
    <row r="636" spans="2:4" ht="15.75" customHeight="1">
      <c r="B636" s="22"/>
      <c r="C636" s="39"/>
      <c r="D636" s="22"/>
    </row>
    <row r="637" spans="2:4" ht="15.75" customHeight="1">
      <c r="B637" s="22"/>
      <c r="C637" s="39"/>
      <c r="D637" s="22"/>
    </row>
    <row r="638" spans="2:4" ht="15.75" customHeight="1">
      <c r="B638" s="22"/>
      <c r="C638" s="39"/>
      <c r="D638" s="22"/>
    </row>
    <row r="639" spans="2:4" ht="15.75" customHeight="1">
      <c r="B639" s="22"/>
      <c r="C639" s="39"/>
      <c r="D639" s="22"/>
    </row>
    <row r="640" spans="2:4" ht="15.75" customHeight="1">
      <c r="B640" s="22"/>
      <c r="C640" s="39"/>
      <c r="D640" s="22"/>
    </row>
    <row r="641" spans="2:4" ht="15.75" customHeight="1">
      <c r="B641" s="22"/>
      <c r="C641" s="39"/>
      <c r="D641" s="22"/>
    </row>
    <row r="642" spans="2:4" ht="15.75" customHeight="1">
      <c r="B642" s="22"/>
      <c r="C642" s="39"/>
      <c r="D642" s="22"/>
    </row>
    <row r="643" spans="2:4" ht="15.75" customHeight="1">
      <c r="B643" s="22"/>
      <c r="C643" s="39"/>
      <c r="D643" s="22"/>
    </row>
    <row r="644" spans="2:4" ht="15.75" customHeight="1">
      <c r="B644" s="22"/>
      <c r="C644" s="39"/>
      <c r="D644" s="22"/>
    </row>
    <row r="645" spans="2:4" ht="15.75" customHeight="1">
      <c r="B645" s="22"/>
      <c r="C645" s="39"/>
      <c r="D645" s="22"/>
    </row>
    <row r="646" spans="2:4" ht="15.75" customHeight="1">
      <c r="B646" s="22"/>
      <c r="C646" s="39"/>
      <c r="D646" s="22"/>
    </row>
    <row r="647" spans="2:4" ht="15.75" customHeight="1">
      <c r="B647" s="22"/>
      <c r="C647" s="39"/>
      <c r="D647" s="22"/>
    </row>
    <row r="648" spans="2:4" ht="15.75" customHeight="1">
      <c r="B648" s="22"/>
      <c r="C648" s="39"/>
      <c r="D648" s="22"/>
    </row>
    <row r="649" spans="2:4" ht="15.75" customHeight="1">
      <c r="B649" s="22"/>
      <c r="C649" s="39"/>
      <c r="D649" s="22"/>
    </row>
    <row r="650" spans="2:4" ht="15.75" customHeight="1">
      <c r="B650" s="22"/>
      <c r="C650" s="39"/>
      <c r="D650" s="22"/>
    </row>
    <row r="651" spans="2:4" ht="15.75" customHeight="1">
      <c r="B651" s="22"/>
      <c r="C651" s="39"/>
      <c r="D651" s="22"/>
    </row>
    <row r="652" spans="2:4" ht="15.75" customHeight="1">
      <c r="B652" s="22"/>
      <c r="C652" s="39"/>
      <c r="D652" s="22"/>
    </row>
    <row r="653" spans="2:4" ht="15.75" customHeight="1">
      <c r="B653" s="22"/>
      <c r="C653" s="39"/>
      <c r="D653" s="22"/>
    </row>
    <row r="654" spans="2:4" ht="15.75" customHeight="1">
      <c r="B654" s="22"/>
      <c r="C654" s="39"/>
      <c r="D654" s="22"/>
    </row>
    <row r="655" spans="2:4" ht="15.75" customHeight="1">
      <c r="B655" s="22"/>
      <c r="C655" s="39"/>
      <c r="D655" s="22"/>
    </row>
    <row r="656" spans="2:4" ht="15.75" customHeight="1">
      <c r="B656" s="22"/>
      <c r="C656" s="39"/>
      <c r="D656" s="22"/>
    </row>
    <row r="657" spans="2:4" ht="15.75" customHeight="1">
      <c r="B657" s="22"/>
      <c r="C657" s="39"/>
      <c r="D657" s="22"/>
    </row>
    <row r="658" spans="2:4" ht="15.75" customHeight="1">
      <c r="B658" s="22"/>
      <c r="C658" s="39"/>
      <c r="D658" s="22"/>
    </row>
    <row r="659" spans="2:4" ht="15.75" customHeight="1">
      <c r="B659" s="22"/>
      <c r="C659" s="39"/>
      <c r="D659" s="22"/>
    </row>
    <row r="660" spans="2:4" ht="15.75" customHeight="1">
      <c r="B660" s="22"/>
      <c r="C660" s="39"/>
      <c r="D660" s="22"/>
    </row>
    <row r="661" spans="2:4" ht="15.75" customHeight="1">
      <c r="B661" s="22"/>
      <c r="C661" s="39"/>
      <c r="D661" s="22"/>
    </row>
    <row r="662" spans="2:4" ht="15.75" customHeight="1">
      <c r="B662" s="22"/>
      <c r="C662" s="39"/>
      <c r="D662" s="22"/>
    </row>
    <row r="663" spans="2:4" ht="15.75" customHeight="1">
      <c r="B663" s="22"/>
      <c r="C663" s="39"/>
      <c r="D663" s="22"/>
    </row>
    <row r="664" spans="2:4" ht="15.75" customHeight="1">
      <c r="B664" s="22"/>
      <c r="C664" s="39"/>
      <c r="D664" s="22"/>
    </row>
    <row r="665" spans="2:4" ht="15.75" customHeight="1">
      <c r="B665" s="22"/>
      <c r="C665" s="39"/>
      <c r="D665" s="22"/>
    </row>
    <row r="666" spans="2:4" ht="15.75" customHeight="1">
      <c r="B666" s="22"/>
      <c r="C666" s="39"/>
      <c r="D666" s="22"/>
    </row>
    <row r="667" spans="2:4" ht="15.75" customHeight="1">
      <c r="B667" s="22"/>
      <c r="C667" s="39"/>
      <c r="D667" s="22"/>
    </row>
    <row r="668" spans="2:4" ht="15.75" customHeight="1">
      <c r="B668" s="22"/>
      <c r="C668" s="39"/>
      <c r="D668" s="22"/>
    </row>
    <row r="669" spans="2:4" ht="15.75" customHeight="1">
      <c r="B669" s="22"/>
      <c r="C669" s="39"/>
      <c r="D669" s="22"/>
    </row>
    <row r="670" spans="2:4" ht="15.75" customHeight="1">
      <c r="B670" s="22"/>
      <c r="C670" s="39"/>
      <c r="D670" s="22"/>
    </row>
    <row r="671" spans="2:4" ht="15.75" customHeight="1">
      <c r="B671" s="22"/>
      <c r="C671" s="39"/>
      <c r="D671" s="22"/>
    </row>
    <row r="672" spans="2:4" ht="15.75" customHeight="1">
      <c r="B672" s="22"/>
      <c r="C672" s="39"/>
      <c r="D672" s="22"/>
    </row>
    <row r="673" spans="2:4" ht="15.75" customHeight="1">
      <c r="B673" s="22"/>
      <c r="C673" s="39"/>
      <c r="D673" s="22"/>
    </row>
    <row r="674" spans="2:4" ht="15.75" customHeight="1">
      <c r="B674" s="22"/>
      <c r="C674" s="39"/>
      <c r="D674" s="22"/>
    </row>
    <row r="675" spans="2:4" ht="15.75" customHeight="1">
      <c r="B675" s="22"/>
      <c r="C675" s="39"/>
      <c r="D675" s="22"/>
    </row>
    <row r="676" spans="2:4" ht="15.75" customHeight="1">
      <c r="B676" s="22"/>
      <c r="C676" s="39"/>
      <c r="D676" s="22"/>
    </row>
    <row r="677" spans="2:4" ht="15.75" customHeight="1">
      <c r="B677" s="22"/>
      <c r="C677" s="39"/>
      <c r="D677" s="22"/>
    </row>
    <row r="678" spans="2:4" ht="15.75" customHeight="1">
      <c r="B678" s="22"/>
      <c r="C678" s="39"/>
      <c r="D678" s="22"/>
    </row>
    <row r="679" spans="2:4" ht="15.75" customHeight="1">
      <c r="B679" s="22"/>
      <c r="C679" s="39"/>
      <c r="D679" s="22"/>
    </row>
    <row r="680" spans="2:4" ht="15.75" customHeight="1">
      <c r="B680" s="22"/>
      <c r="C680" s="39"/>
      <c r="D680" s="22"/>
    </row>
    <row r="681" spans="2:4" ht="15.75" customHeight="1">
      <c r="B681" s="22"/>
      <c r="C681" s="39"/>
      <c r="D681" s="22"/>
    </row>
    <row r="682" spans="2:4" ht="15.75" customHeight="1">
      <c r="B682" s="22"/>
      <c r="C682" s="39"/>
      <c r="D682" s="22"/>
    </row>
    <row r="683" spans="2:4" ht="15.75" customHeight="1">
      <c r="B683" s="22"/>
      <c r="C683" s="39"/>
      <c r="D683" s="22"/>
    </row>
    <row r="684" spans="2:4" ht="15.75" customHeight="1">
      <c r="B684" s="22"/>
      <c r="C684" s="39"/>
      <c r="D684" s="22"/>
    </row>
    <row r="685" spans="2:4" ht="15.75" customHeight="1">
      <c r="B685" s="22"/>
      <c r="C685" s="39"/>
      <c r="D685" s="22"/>
    </row>
    <row r="686" spans="2:4" ht="15.75" customHeight="1">
      <c r="B686" s="22"/>
      <c r="C686" s="39"/>
      <c r="D686" s="22"/>
    </row>
    <row r="687" spans="2:4" ht="15.75" customHeight="1">
      <c r="B687" s="22"/>
      <c r="C687" s="39"/>
      <c r="D687" s="22"/>
    </row>
    <row r="688" spans="2:4" ht="15.75" customHeight="1">
      <c r="B688" s="22"/>
      <c r="C688" s="39"/>
      <c r="D688" s="22"/>
    </row>
    <row r="689" spans="2:4" ht="15.75" customHeight="1">
      <c r="B689" s="22"/>
      <c r="C689" s="39"/>
      <c r="D689" s="22"/>
    </row>
    <row r="690" spans="2:4" ht="15.75" customHeight="1">
      <c r="B690" s="22"/>
      <c r="C690" s="39"/>
      <c r="D690" s="22"/>
    </row>
    <row r="691" spans="2:4" ht="15.75" customHeight="1">
      <c r="B691" s="22"/>
      <c r="C691" s="39"/>
      <c r="D691" s="22"/>
    </row>
    <row r="692" spans="2:4" ht="15.75" customHeight="1">
      <c r="B692" s="22"/>
      <c r="C692" s="39"/>
      <c r="D692" s="22"/>
    </row>
    <row r="693" spans="2:4" ht="15.75" customHeight="1">
      <c r="B693" s="22"/>
      <c r="C693" s="39"/>
      <c r="D693" s="22"/>
    </row>
    <row r="694" spans="2:4" ht="15.75" customHeight="1">
      <c r="B694" s="22"/>
      <c r="C694" s="39"/>
      <c r="D694" s="22"/>
    </row>
    <row r="695" spans="2:4" ht="15.75" customHeight="1">
      <c r="B695" s="22"/>
      <c r="C695" s="39"/>
      <c r="D695" s="22"/>
    </row>
    <row r="696" spans="2:4" ht="15.75" customHeight="1">
      <c r="B696" s="22"/>
      <c r="C696" s="39"/>
      <c r="D696" s="22"/>
    </row>
    <row r="697" spans="2:4" ht="15.75" customHeight="1">
      <c r="B697" s="22"/>
      <c r="C697" s="39"/>
      <c r="D697" s="22"/>
    </row>
    <row r="698" spans="2:4" ht="15.75" customHeight="1">
      <c r="B698" s="22"/>
      <c r="C698" s="39"/>
      <c r="D698" s="22"/>
    </row>
    <row r="699" spans="2:4" ht="15.75" customHeight="1">
      <c r="B699" s="22"/>
      <c r="C699" s="39"/>
      <c r="D699" s="22"/>
    </row>
    <row r="700" spans="2:4" ht="15.75" customHeight="1">
      <c r="B700" s="22"/>
      <c r="C700" s="39"/>
      <c r="D700" s="22"/>
    </row>
    <row r="701" spans="2:4" ht="15.75" customHeight="1">
      <c r="B701" s="22"/>
      <c r="C701" s="39"/>
      <c r="D701" s="22"/>
    </row>
    <row r="702" spans="2:4" ht="15.75" customHeight="1">
      <c r="B702" s="22"/>
      <c r="C702" s="39"/>
      <c r="D702" s="22"/>
    </row>
    <row r="703" spans="2:4" ht="15.75" customHeight="1">
      <c r="B703" s="22"/>
      <c r="C703" s="39"/>
      <c r="D703" s="22"/>
    </row>
    <row r="704" spans="2:4" ht="15.75" customHeight="1">
      <c r="B704" s="22"/>
      <c r="C704" s="39"/>
      <c r="D704" s="22"/>
    </row>
    <row r="705" spans="2:4" ht="15.75" customHeight="1">
      <c r="B705" s="22"/>
      <c r="C705" s="39"/>
      <c r="D705" s="22"/>
    </row>
    <row r="706" spans="2:4" ht="15.75" customHeight="1">
      <c r="B706" s="22"/>
      <c r="C706" s="39"/>
      <c r="D706" s="22"/>
    </row>
    <row r="707" spans="2:4" ht="15.75" customHeight="1">
      <c r="B707" s="22"/>
      <c r="C707" s="39"/>
      <c r="D707" s="22"/>
    </row>
    <row r="708" spans="2:4" ht="15.75" customHeight="1">
      <c r="B708" s="22"/>
      <c r="C708" s="39"/>
      <c r="D708" s="22"/>
    </row>
    <row r="709" spans="2:4" ht="15.75" customHeight="1">
      <c r="B709" s="22"/>
      <c r="C709" s="39"/>
      <c r="D709" s="22"/>
    </row>
    <row r="710" spans="2:4" ht="15.75" customHeight="1">
      <c r="B710" s="22"/>
      <c r="C710" s="39"/>
      <c r="D710" s="22"/>
    </row>
    <row r="711" spans="2:4" ht="15.75" customHeight="1">
      <c r="B711" s="22"/>
      <c r="C711" s="39"/>
      <c r="D711" s="22"/>
    </row>
    <row r="712" spans="2:4" ht="15.75" customHeight="1">
      <c r="B712" s="22"/>
      <c r="C712" s="39"/>
      <c r="D712" s="22"/>
    </row>
    <row r="713" spans="2:4" ht="15.75" customHeight="1">
      <c r="B713" s="22"/>
      <c r="C713" s="39"/>
      <c r="D713" s="22"/>
    </row>
    <row r="714" spans="2:4" ht="15.75" customHeight="1">
      <c r="B714" s="22"/>
      <c r="C714" s="39"/>
      <c r="D714" s="22"/>
    </row>
    <row r="715" spans="2:4" ht="15.75" customHeight="1">
      <c r="B715" s="22"/>
      <c r="C715" s="39"/>
      <c r="D715" s="22"/>
    </row>
    <row r="716" spans="2:4" ht="15.75" customHeight="1">
      <c r="B716" s="22"/>
      <c r="C716" s="39"/>
      <c r="D716" s="22"/>
    </row>
    <row r="717" spans="2:4" ht="15.75" customHeight="1">
      <c r="B717" s="22"/>
      <c r="C717" s="39"/>
      <c r="D717" s="22"/>
    </row>
    <row r="718" spans="2:4" ht="15.75" customHeight="1">
      <c r="B718" s="22"/>
      <c r="C718" s="39"/>
      <c r="D718" s="22"/>
    </row>
    <row r="719" spans="2:4" ht="15.75" customHeight="1">
      <c r="B719" s="22"/>
      <c r="C719" s="39"/>
      <c r="D719" s="22"/>
    </row>
    <row r="720" spans="2:4" ht="15.75" customHeight="1">
      <c r="B720" s="22"/>
      <c r="C720" s="39"/>
      <c r="D720" s="22"/>
    </row>
    <row r="721" spans="2:4" ht="15.75" customHeight="1">
      <c r="B721" s="22"/>
      <c r="C721" s="39"/>
      <c r="D721" s="22"/>
    </row>
    <row r="722" spans="2:4" ht="15.75" customHeight="1">
      <c r="B722" s="22"/>
      <c r="C722" s="39"/>
      <c r="D722" s="22"/>
    </row>
    <row r="723" spans="2:4" ht="15.75" customHeight="1">
      <c r="B723" s="22"/>
      <c r="C723" s="39"/>
      <c r="D723" s="22"/>
    </row>
    <row r="724" spans="2:4" ht="15.75" customHeight="1">
      <c r="B724" s="22"/>
      <c r="C724" s="39"/>
      <c r="D724" s="22"/>
    </row>
    <row r="725" spans="2:4" ht="15.75" customHeight="1">
      <c r="B725" s="22"/>
      <c r="C725" s="39"/>
      <c r="D725" s="22"/>
    </row>
    <row r="726" spans="2:4" ht="15.75" customHeight="1">
      <c r="B726" s="22"/>
      <c r="C726" s="39"/>
      <c r="D726" s="22"/>
    </row>
    <row r="727" spans="2:4" ht="15.75" customHeight="1">
      <c r="B727" s="22"/>
      <c r="C727" s="39"/>
      <c r="D727" s="22"/>
    </row>
    <row r="728" spans="2:4" ht="15.75" customHeight="1">
      <c r="B728" s="22"/>
      <c r="C728" s="39"/>
      <c r="D728" s="22"/>
    </row>
    <row r="729" spans="2:4" ht="15.75" customHeight="1">
      <c r="B729" s="22"/>
      <c r="C729" s="39"/>
      <c r="D729" s="22"/>
    </row>
    <row r="730" spans="2:4" ht="15.75" customHeight="1">
      <c r="B730" s="22"/>
      <c r="C730" s="39"/>
      <c r="D730" s="22"/>
    </row>
    <row r="731" spans="2:4" ht="15.75" customHeight="1">
      <c r="B731" s="22"/>
      <c r="C731" s="39"/>
      <c r="D731" s="22"/>
    </row>
    <row r="732" spans="2:4" ht="15.75" customHeight="1">
      <c r="B732" s="22"/>
      <c r="C732" s="39"/>
      <c r="D732" s="22"/>
    </row>
    <row r="733" spans="2:4" ht="15.75" customHeight="1">
      <c r="B733" s="22"/>
      <c r="C733" s="39"/>
      <c r="D733" s="22"/>
    </row>
    <row r="734" spans="2:4" ht="15.75" customHeight="1">
      <c r="B734" s="22"/>
      <c r="C734" s="39"/>
      <c r="D734" s="22"/>
    </row>
    <row r="735" spans="2:4" ht="15.75" customHeight="1">
      <c r="B735" s="22"/>
      <c r="C735" s="39"/>
      <c r="D735" s="22"/>
    </row>
    <row r="736" spans="2:4" ht="15.75" customHeight="1">
      <c r="B736" s="22"/>
      <c r="C736" s="39"/>
      <c r="D736" s="22"/>
    </row>
    <row r="737" spans="2:4" ht="15.75" customHeight="1">
      <c r="B737" s="22"/>
      <c r="C737" s="39"/>
      <c r="D737" s="22"/>
    </row>
    <row r="738" spans="2:4" ht="15.75" customHeight="1">
      <c r="B738" s="22"/>
      <c r="C738" s="39"/>
      <c r="D738" s="22"/>
    </row>
    <row r="739" spans="2:4" ht="15.75" customHeight="1">
      <c r="B739" s="22"/>
      <c r="C739" s="39"/>
      <c r="D739" s="22"/>
    </row>
    <row r="740" spans="2:4" ht="15.75" customHeight="1">
      <c r="B740" s="22"/>
      <c r="C740" s="39"/>
      <c r="D740" s="22"/>
    </row>
    <row r="741" spans="2:4" ht="15.75" customHeight="1">
      <c r="B741" s="22"/>
      <c r="C741" s="39"/>
      <c r="D741" s="22"/>
    </row>
    <row r="742" spans="2:4" ht="15.75" customHeight="1">
      <c r="B742" s="22"/>
      <c r="C742" s="39"/>
      <c r="D742" s="22"/>
    </row>
    <row r="743" spans="2:4" ht="15.75" customHeight="1">
      <c r="B743" s="22"/>
      <c r="C743" s="39"/>
      <c r="D743" s="22"/>
    </row>
    <row r="744" spans="2:4" ht="15.75" customHeight="1">
      <c r="B744" s="22"/>
      <c r="C744" s="39"/>
      <c r="D744" s="22"/>
    </row>
    <row r="745" spans="2:4" ht="15.75" customHeight="1">
      <c r="B745" s="22"/>
      <c r="C745" s="39"/>
      <c r="D745" s="22"/>
    </row>
    <row r="746" spans="2:4" ht="15.75" customHeight="1">
      <c r="B746" s="22"/>
      <c r="C746" s="39"/>
      <c r="D746" s="22"/>
    </row>
    <row r="747" spans="2:4" ht="15.75" customHeight="1">
      <c r="B747" s="22"/>
      <c r="C747" s="39"/>
      <c r="D747" s="22"/>
    </row>
    <row r="748" spans="2:4" ht="15.75" customHeight="1">
      <c r="B748" s="22"/>
      <c r="C748" s="39"/>
      <c r="D748" s="22"/>
    </row>
    <row r="749" spans="2:4" ht="15.75" customHeight="1">
      <c r="B749" s="22"/>
      <c r="C749" s="39"/>
      <c r="D749" s="22"/>
    </row>
    <row r="750" spans="2:4" ht="15.75" customHeight="1">
      <c r="B750" s="22"/>
      <c r="C750" s="39"/>
      <c r="D750" s="22"/>
    </row>
    <row r="751" spans="2:4" ht="15.75" customHeight="1">
      <c r="B751" s="22"/>
      <c r="C751" s="39"/>
      <c r="D751" s="22"/>
    </row>
    <row r="752" spans="2:4" ht="15.75" customHeight="1">
      <c r="B752" s="22"/>
      <c r="C752" s="39"/>
      <c r="D752" s="22"/>
    </row>
    <row r="753" spans="2:4" ht="15.75" customHeight="1">
      <c r="B753" s="22"/>
      <c r="C753" s="39"/>
      <c r="D753" s="22"/>
    </row>
    <row r="754" spans="2:4" ht="15.75" customHeight="1">
      <c r="B754" s="22"/>
      <c r="C754" s="39"/>
      <c r="D754" s="22"/>
    </row>
    <row r="755" spans="2:4" ht="15.75" customHeight="1">
      <c r="B755" s="22"/>
      <c r="C755" s="39"/>
      <c r="D755" s="22"/>
    </row>
    <row r="756" spans="2:4" ht="15.75" customHeight="1">
      <c r="B756" s="22"/>
      <c r="C756" s="39"/>
      <c r="D756" s="22"/>
    </row>
    <row r="757" spans="2:4" ht="15.75" customHeight="1">
      <c r="B757" s="22"/>
      <c r="C757" s="39"/>
      <c r="D757" s="22"/>
    </row>
    <row r="758" spans="2:4" ht="15.75" customHeight="1">
      <c r="B758" s="22"/>
      <c r="C758" s="39"/>
      <c r="D758" s="22"/>
    </row>
    <row r="759" spans="2:4" ht="15.75" customHeight="1">
      <c r="B759" s="22"/>
      <c r="C759" s="39"/>
      <c r="D759" s="22"/>
    </row>
    <row r="760" spans="2:4" ht="15.75" customHeight="1">
      <c r="B760" s="22"/>
      <c r="C760" s="39"/>
      <c r="D760" s="22"/>
    </row>
    <row r="761" spans="2:4" ht="15.75" customHeight="1">
      <c r="B761" s="22"/>
      <c r="C761" s="39"/>
      <c r="D761" s="22"/>
    </row>
    <row r="762" spans="2:4" ht="15.75" customHeight="1">
      <c r="B762" s="22"/>
      <c r="C762" s="39"/>
      <c r="D762" s="22"/>
    </row>
    <row r="763" spans="2:4" ht="15.75" customHeight="1">
      <c r="B763" s="22"/>
      <c r="C763" s="39"/>
      <c r="D763" s="22"/>
    </row>
    <row r="764" spans="2:4" ht="15.75" customHeight="1">
      <c r="B764" s="22"/>
      <c r="C764" s="39"/>
      <c r="D764" s="22"/>
    </row>
    <row r="765" spans="2:4" ht="15.75" customHeight="1">
      <c r="B765" s="22"/>
      <c r="C765" s="39"/>
      <c r="D765" s="22"/>
    </row>
    <row r="766" spans="2:4" ht="15.75" customHeight="1">
      <c r="B766" s="22"/>
      <c r="C766" s="39"/>
      <c r="D766" s="22"/>
    </row>
    <row r="767" spans="2:4" ht="15.75" customHeight="1">
      <c r="B767" s="22"/>
      <c r="C767" s="39"/>
      <c r="D767" s="22"/>
    </row>
    <row r="768" spans="2:4" ht="15.75" customHeight="1">
      <c r="B768" s="22"/>
      <c r="C768" s="39"/>
      <c r="D768" s="22"/>
    </row>
    <row r="769" spans="2:4" ht="15.75" customHeight="1">
      <c r="B769" s="22"/>
      <c r="C769" s="39"/>
      <c r="D769" s="22"/>
    </row>
    <row r="770" spans="2:4" ht="15.75" customHeight="1">
      <c r="B770" s="22"/>
      <c r="C770" s="39"/>
      <c r="D770" s="22"/>
    </row>
    <row r="771" spans="2:4" ht="15.75" customHeight="1">
      <c r="B771" s="22"/>
      <c r="C771" s="39"/>
      <c r="D771" s="22"/>
    </row>
    <row r="772" spans="2:4" ht="15.75" customHeight="1">
      <c r="B772" s="22"/>
      <c r="C772" s="39"/>
      <c r="D772" s="22"/>
    </row>
    <row r="773" spans="2:4" ht="15.75" customHeight="1">
      <c r="B773" s="22"/>
      <c r="C773" s="39"/>
      <c r="D773" s="22"/>
    </row>
    <row r="774" spans="2:4" ht="15.75" customHeight="1">
      <c r="B774" s="22"/>
      <c r="C774" s="39"/>
      <c r="D774" s="22"/>
    </row>
    <row r="775" spans="2:4" ht="15.75" customHeight="1">
      <c r="B775" s="22"/>
      <c r="C775" s="39"/>
      <c r="D775" s="22"/>
    </row>
    <row r="776" spans="2:4" ht="15.75" customHeight="1">
      <c r="B776" s="22"/>
      <c r="C776" s="39"/>
      <c r="D776" s="22"/>
    </row>
    <row r="777" spans="2:4" ht="15.75" customHeight="1">
      <c r="B777" s="22"/>
      <c r="C777" s="39"/>
      <c r="D777" s="22"/>
    </row>
    <row r="778" spans="2:4" ht="15.75" customHeight="1">
      <c r="B778" s="22"/>
      <c r="C778" s="39"/>
      <c r="D778" s="22"/>
    </row>
    <row r="779" spans="2:4" ht="15.75" customHeight="1">
      <c r="B779" s="22"/>
      <c r="C779" s="39"/>
      <c r="D779" s="22"/>
    </row>
    <row r="780" spans="2:4" ht="15.75" customHeight="1">
      <c r="B780" s="22"/>
      <c r="C780" s="39"/>
      <c r="D780" s="22"/>
    </row>
    <row r="781" spans="2:4" ht="15.75" customHeight="1">
      <c r="B781" s="22"/>
      <c r="C781" s="39"/>
      <c r="D781" s="22"/>
    </row>
    <row r="782" spans="2:4" ht="15.75" customHeight="1">
      <c r="B782" s="22"/>
      <c r="C782" s="39"/>
      <c r="D782" s="22"/>
    </row>
    <row r="783" spans="2:4" ht="15.75" customHeight="1">
      <c r="B783" s="22"/>
      <c r="C783" s="39"/>
      <c r="D783" s="22"/>
    </row>
    <row r="784" spans="2:4" ht="15.75" customHeight="1">
      <c r="B784" s="22"/>
      <c r="C784" s="39"/>
      <c r="D784" s="22"/>
    </row>
    <row r="785" spans="2:4" ht="15.75" customHeight="1">
      <c r="B785" s="22"/>
      <c r="C785" s="39"/>
      <c r="D785" s="22"/>
    </row>
    <row r="786" spans="2:4" ht="15.75" customHeight="1">
      <c r="B786" s="22"/>
      <c r="C786" s="39"/>
      <c r="D786" s="22"/>
    </row>
    <row r="787" spans="2:4" ht="15.75" customHeight="1">
      <c r="B787" s="22"/>
      <c r="C787" s="39"/>
      <c r="D787" s="22"/>
    </row>
    <row r="788" spans="2:4" ht="15.75" customHeight="1">
      <c r="B788" s="22"/>
      <c r="C788" s="39"/>
      <c r="D788" s="22"/>
    </row>
    <row r="789" spans="2:4" ht="15.75" customHeight="1">
      <c r="B789" s="22"/>
      <c r="C789" s="39"/>
      <c r="D789" s="22"/>
    </row>
    <row r="790" spans="2:4" ht="15.75" customHeight="1">
      <c r="B790" s="22"/>
      <c r="C790" s="39"/>
      <c r="D790" s="22"/>
    </row>
    <row r="791" spans="2:4" ht="15.75" customHeight="1">
      <c r="B791" s="22"/>
      <c r="C791" s="39"/>
      <c r="D791" s="22"/>
    </row>
    <row r="792" spans="2:4" ht="15.75" customHeight="1">
      <c r="B792" s="22"/>
      <c r="C792" s="39"/>
      <c r="D792" s="22"/>
    </row>
    <row r="793" spans="2:4" ht="15.75" customHeight="1">
      <c r="B793" s="22"/>
      <c r="C793" s="39"/>
      <c r="D793" s="22"/>
    </row>
    <row r="794" spans="2:4" ht="15.75" customHeight="1">
      <c r="B794" s="22"/>
      <c r="C794" s="39"/>
      <c r="D794" s="22"/>
    </row>
    <row r="795" spans="2:4" ht="15.75" customHeight="1">
      <c r="B795" s="22"/>
      <c r="C795" s="39"/>
      <c r="D795" s="22"/>
    </row>
    <row r="796" spans="2:4" ht="15.75" customHeight="1">
      <c r="B796" s="22"/>
      <c r="C796" s="39"/>
      <c r="D796" s="22"/>
    </row>
    <row r="797" spans="2:4" ht="15.75" customHeight="1">
      <c r="B797" s="22"/>
      <c r="C797" s="39"/>
      <c r="D797" s="22"/>
    </row>
    <row r="798" spans="2:4" ht="15.75" customHeight="1">
      <c r="B798" s="22"/>
      <c r="C798" s="39"/>
      <c r="D798" s="22"/>
    </row>
    <row r="799" spans="2:4" ht="15.75" customHeight="1">
      <c r="B799" s="22"/>
      <c r="C799" s="39"/>
      <c r="D799" s="22"/>
    </row>
    <row r="800" spans="2:4" ht="15.75" customHeight="1">
      <c r="B800" s="22"/>
      <c r="C800" s="39"/>
      <c r="D800" s="22"/>
    </row>
    <row r="801" spans="2:4" ht="15.75" customHeight="1">
      <c r="B801" s="22"/>
      <c r="C801" s="39"/>
      <c r="D801" s="22"/>
    </row>
    <row r="802" spans="2:4" ht="15.75" customHeight="1">
      <c r="B802" s="22"/>
      <c r="C802" s="39"/>
      <c r="D802" s="22"/>
    </row>
    <row r="803" spans="2:4" ht="15.75" customHeight="1">
      <c r="B803" s="22"/>
      <c r="C803" s="39"/>
      <c r="D803" s="22"/>
    </row>
    <row r="804" spans="2:4" ht="15.75" customHeight="1">
      <c r="B804" s="22"/>
      <c r="C804" s="39"/>
      <c r="D804" s="22"/>
    </row>
    <row r="805" spans="2:4" ht="15.75" customHeight="1">
      <c r="B805" s="22"/>
      <c r="C805" s="39"/>
      <c r="D805" s="22"/>
    </row>
    <row r="806" spans="2:4" ht="15.75" customHeight="1">
      <c r="B806" s="22"/>
      <c r="C806" s="39"/>
      <c r="D806" s="22"/>
    </row>
    <row r="807" spans="2:4" ht="15.75" customHeight="1">
      <c r="B807" s="22"/>
      <c r="C807" s="39"/>
      <c r="D807" s="22"/>
    </row>
    <row r="808" spans="2:4" ht="15.75" customHeight="1">
      <c r="B808" s="22"/>
      <c r="C808" s="39"/>
      <c r="D808" s="22"/>
    </row>
    <row r="809" spans="2:4" ht="15.75" customHeight="1">
      <c r="B809" s="22"/>
      <c r="C809" s="39"/>
      <c r="D809" s="22"/>
    </row>
    <row r="810" spans="2:4" ht="15.75" customHeight="1">
      <c r="B810" s="22"/>
      <c r="C810" s="39"/>
      <c r="D810" s="22"/>
    </row>
    <row r="811" spans="2:4" ht="15.75" customHeight="1">
      <c r="B811" s="22"/>
      <c r="C811" s="39"/>
      <c r="D811" s="22"/>
    </row>
    <row r="812" spans="2:4" ht="15.75" customHeight="1">
      <c r="B812" s="22"/>
      <c r="C812" s="39"/>
      <c r="D812" s="22"/>
    </row>
    <row r="813" spans="2:4" ht="15.75" customHeight="1">
      <c r="B813" s="22"/>
      <c r="C813" s="39"/>
      <c r="D813" s="22"/>
    </row>
    <row r="814" spans="2:4" ht="15.75" customHeight="1">
      <c r="B814" s="22"/>
      <c r="C814" s="39"/>
      <c r="D814" s="22"/>
    </row>
    <row r="815" spans="2:4" ht="15.75" customHeight="1">
      <c r="B815" s="22"/>
      <c r="C815" s="39"/>
      <c r="D815" s="22"/>
    </row>
    <row r="816" spans="2:4" ht="15.75" customHeight="1">
      <c r="B816" s="22"/>
      <c r="C816" s="39"/>
      <c r="D816" s="22"/>
    </row>
    <row r="817" spans="2:4" ht="15.75" customHeight="1">
      <c r="B817" s="22"/>
      <c r="C817" s="39"/>
      <c r="D817" s="22"/>
    </row>
    <row r="818" spans="2:4" ht="15.75" customHeight="1">
      <c r="B818" s="22"/>
      <c r="C818" s="39"/>
      <c r="D818" s="22"/>
    </row>
    <row r="819" spans="2:4" ht="15.75" customHeight="1">
      <c r="B819" s="22"/>
      <c r="C819" s="39"/>
      <c r="D819" s="22"/>
    </row>
    <row r="820" spans="2:4" ht="15.75" customHeight="1">
      <c r="B820" s="22"/>
      <c r="C820" s="39"/>
      <c r="D820" s="22"/>
    </row>
    <row r="821" spans="2:4" ht="15.75" customHeight="1">
      <c r="B821" s="22"/>
      <c r="C821" s="39"/>
      <c r="D821" s="22"/>
    </row>
    <row r="822" spans="2:4" ht="15.75" customHeight="1">
      <c r="B822" s="22"/>
      <c r="C822" s="39"/>
      <c r="D822" s="22"/>
    </row>
    <row r="823" spans="2:4" ht="15.75" customHeight="1">
      <c r="B823" s="22"/>
      <c r="C823" s="39"/>
      <c r="D823" s="22"/>
    </row>
    <row r="824" spans="2:4" ht="15.75" customHeight="1">
      <c r="B824" s="22"/>
      <c r="C824" s="39"/>
      <c r="D824" s="22"/>
    </row>
    <row r="825" spans="2:4" ht="15.75" customHeight="1">
      <c r="B825" s="22"/>
      <c r="C825" s="39"/>
      <c r="D825" s="22"/>
    </row>
    <row r="826" spans="2:4" ht="15.75" customHeight="1">
      <c r="B826" s="22"/>
      <c r="C826" s="39"/>
      <c r="D826" s="22"/>
    </row>
    <row r="827" spans="2:4" ht="15.75" customHeight="1">
      <c r="B827" s="22"/>
      <c r="C827" s="39"/>
      <c r="D827" s="22"/>
    </row>
    <row r="828" spans="2:4" ht="15.75" customHeight="1">
      <c r="B828" s="22"/>
      <c r="C828" s="39"/>
      <c r="D828" s="22"/>
    </row>
    <row r="829" spans="2:4" ht="15.75" customHeight="1">
      <c r="B829" s="22"/>
      <c r="C829" s="39"/>
      <c r="D829" s="22"/>
    </row>
    <row r="830" spans="2:4" ht="15.75" customHeight="1">
      <c r="B830" s="22"/>
      <c r="C830" s="39"/>
      <c r="D830" s="22"/>
    </row>
    <row r="831" spans="2:4" ht="15.75" customHeight="1">
      <c r="B831" s="22"/>
      <c r="C831" s="39"/>
      <c r="D831" s="22"/>
    </row>
    <row r="832" spans="2:4" ht="15.75" customHeight="1">
      <c r="B832" s="22"/>
      <c r="C832" s="39"/>
      <c r="D832" s="22"/>
    </row>
    <row r="833" spans="2:4" ht="15.75" customHeight="1">
      <c r="B833" s="22"/>
      <c r="C833" s="39"/>
      <c r="D833" s="22"/>
    </row>
    <row r="834" spans="2:4" ht="15.75" customHeight="1">
      <c r="B834" s="22"/>
      <c r="C834" s="39"/>
      <c r="D834" s="22"/>
    </row>
    <row r="835" spans="2:4" ht="15.75" customHeight="1">
      <c r="B835" s="22"/>
      <c r="C835" s="39"/>
      <c r="D835" s="22"/>
    </row>
    <row r="836" spans="2:4" ht="15.75" customHeight="1">
      <c r="B836" s="22"/>
      <c r="C836" s="39"/>
      <c r="D836" s="22"/>
    </row>
    <row r="837" spans="2:4" ht="15.75" customHeight="1">
      <c r="B837" s="22"/>
      <c r="C837" s="39"/>
      <c r="D837" s="22"/>
    </row>
    <row r="838" spans="2:4" ht="15.75" customHeight="1">
      <c r="B838" s="22"/>
      <c r="C838" s="39"/>
      <c r="D838" s="22"/>
    </row>
    <row r="839" spans="2:4" ht="15.75" customHeight="1">
      <c r="B839" s="22"/>
      <c r="C839" s="39"/>
      <c r="D839" s="22"/>
    </row>
    <row r="840" spans="2:4" ht="15.75" customHeight="1">
      <c r="B840" s="22"/>
      <c r="C840" s="39"/>
      <c r="D840" s="22"/>
    </row>
    <row r="841" spans="2:4" ht="15.75" customHeight="1">
      <c r="B841" s="22"/>
      <c r="C841" s="39"/>
      <c r="D841" s="22"/>
    </row>
    <row r="842" spans="2:4" ht="15.75" customHeight="1">
      <c r="B842" s="22"/>
      <c r="C842" s="39"/>
      <c r="D842" s="22"/>
    </row>
    <row r="843" spans="2:4" ht="15.75" customHeight="1">
      <c r="B843" s="22"/>
      <c r="C843" s="39"/>
      <c r="D843" s="22"/>
    </row>
    <row r="844" spans="2:4" ht="15.75" customHeight="1">
      <c r="B844" s="22"/>
      <c r="C844" s="39"/>
      <c r="D844" s="22"/>
    </row>
    <row r="845" spans="2:4" ht="15.75" customHeight="1">
      <c r="B845" s="22"/>
      <c r="C845" s="39"/>
      <c r="D845" s="22"/>
    </row>
    <row r="846" spans="2:4" ht="15.75" customHeight="1">
      <c r="B846" s="22"/>
      <c r="C846" s="39"/>
      <c r="D846" s="22"/>
    </row>
    <row r="847" spans="2:4" ht="15.75" customHeight="1">
      <c r="B847" s="22"/>
      <c r="C847" s="39"/>
      <c r="D847" s="22"/>
    </row>
    <row r="848" spans="2:4" ht="15.75" customHeight="1">
      <c r="B848" s="22"/>
      <c r="C848" s="39"/>
      <c r="D848" s="22"/>
    </row>
    <row r="849" spans="2:4" ht="15.75" customHeight="1">
      <c r="B849" s="22"/>
      <c r="C849" s="39"/>
      <c r="D849" s="22"/>
    </row>
    <row r="850" spans="2:4" ht="15.75" customHeight="1">
      <c r="B850" s="22"/>
      <c r="C850" s="39"/>
      <c r="D850" s="22"/>
    </row>
    <row r="851" spans="2:4" ht="15.75" customHeight="1">
      <c r="B851" s="22"/>
      <c r="C851" s="39"/>
      <c r="D851" s="22"/>
    </row>
    <row r="852" spans="2:4" ht="15.75" customHeight="1">
      <c r="B852" s="22"/>
      <c r="C852" s="39"/>
      <c r="D852" s="22"/>
    </row>
    <row r="853" spans="2:4" ht="15.75" customHeight="1">
      <c r="B853" s="22"/>
      <c r="C853" s="39"/>
      <c r="D853" s="22"/>
    </row>
    <row r="854" spans="2:4" ht="15.75" customHeight="1">
      <c r="B854" s="22"/>
      <c r="C854" s="39"/>
      <c r="D854" s="22"/>
    </row>
    <row r="855" spans="2:4" ht="15.75" customHeight="1">
      <c r="B855" s="22"/>
      <c r="C855" s="39"/>
      <c r="D855" s="22"/>
    </row>
    <row r="856" spans="2:4" ht="15.75" customHeight="1">
      <c r="B856" s="22"/>
      <c r="C856" s="39"/>
      <c r="D856" s="22"/>
    </row>
    <row r="857" spans="2:4" ht="15.75" customHeight="1">
      <c r="B857" s="22"/>
      <c r="C857" s="39"/>
      <c r="D857" s="22"/>
    </row>
    <row r="858" spans="2:4" ht="15.75" customHeight="1">
      <c r="B858" s="22"/>
      <c r="C858" s="39"/>
      <c r="D858" s="22"/>
    </row>
    <row r="859" spans="2:4" ht="15.75" customHeight="1">
      <c r="B859" s="22"/>
      <c r="C859" s="39"/>
      <c r="D859" s="22"/>
    </row>
    <row r="860" spans="2:4" ht="15.75" customHeight="1">
      <c r="B860" s="22"/>
      <c r="C860" s="39"/>
      <c r="D860" s="22"/>
    </row>
    <row r="861" spans="2:4" ht="15.75" customHeight="1">
      <c r="B861" s="22"/>
      <c r="C861" s="39"/>
      <c r="D861" s="22"/>
    </row>
    <row r="862" spans="2:4" ht="15.75" customHeight="1">
      <c r="B862" s="22"/>
      <c r="C862" s="39"/>
      <c r="D862" s="22"/>
    </row>
    <row r="863" spans="2:4" ht="15.75" customHeight="1">
      <c r="B863" s="22"/>
      <c r="C863" s="39"/>
      <c r="D863" s="22"/>
    </row>
    <row r="864" spans="2:4" ht="15.75" customHeight="1">
      <c r="B864" s="22"/>
      <c r="C864" s="39"/>
      <c r="D864" s="22"/>
    </row>
    <row r="865" spans="2:4" ht="15.75" customHeight="1">
      <c r="B865" s="22"/>
      <c r="C865" s="39"/>
      <c r="D865" s="22"/>
    </row>
    <row r="866" spans="2:4" ht="15.75" customHeight="1">
      <c r="B866" s="22"/>
      <c r="C866" s="39"/>
      <c r="D866" s="22"/>
    </row>
    <row r="867" spans="2:4" ht="15.75" customHeight="1">
      <c r="B867" s="22"/>
      <c r="C867" s="39"/>
      <c r="D867" s="22"/>
    </row>
    <row r="868" spans="2:4" ht="15.75" customHeight="1">
      <c r="B868" s="22"/>
      <c r="C868" s="39"/>
      <c r="D868" s="22"/>
    </row>
    <row r="869" spans="2:4" ht="15.75" customHeight="1">
      <c r="B869" s="22"/>
      <c r="C869" s="39"/>
      <c r="D869" s="22"/>
    </row>
    <row r="870" spans="2:4" ht="15.75" customHeight="1">
      <c r="B870" s="22"/>
      <c r="C870" s="39"/>
      <c r="D870" s="22"/>
    </row>
    <row r="871" spans="2:4" ht="15.75" customHeight="1">
      <c r="B871" s="22"/>
      <c r="C871" s="39"/>
      <c r="D871" s="22"/>
    </row>
    <row r="872" spans="2:4" ht="15.75" customHeight="1">
      <c r="B872" s="22"/>
      <c r="C872" s="39"/>
      <c r="D872" s="22"/>
    </row>
    <row r="873" spans="2:4" ht="15.75" customHeight="1">
      <c r="B873" s="22"/>
      <c r="C873" s="39"/>
      <c r="D873" s="22"/>
    </row>
    <row r="874" spans="2:4" ht="15.75" customHeight="1">
      <c r="B874" s="22"/>
      <c r="C874" s="39"/>
      <c r="D874" s="22"/>
    </row>
    <row r="875" spans="2:4" ht="15.75" customHeight="1">
      <c r="B875" s="22"/>
      <c r="C875" s="39"/>
      <c r="D875" s="22"/>
    </row>
    <row r="876" spans="2:4" ht="15.75" customHeight="1">
      <c r="B876" s="22"/>
      <c r="C876" s="39"/>
      <c r="D876" s="22"/>
    </row>
    <row r="877" spans="2:4" ht="15.75" customHeight="1">
      <c r="B877" s="22"/>
      <c r="C877" s="39"/>
      <c r="D877" s="22"/>
    </row>
    <row r="878" spans="2:4" ht="15.75" customHeight="1">
      <c r="B878" s="22"/>
      <c r="C878" s="39"/>
      <c r="D878" s="22"/>
    </row>
    <row r="879" spans="2:4" ht="15.75" customHeight="1">
      <c r="B879" s="22"/>
      <c r="C879" s="39"/>
      <c r="D879" s="22"/>
    </row>
    <row r="880" spans="2:4" ht="15.75" customHeight="1">
      <c r="B880" s="22"/>
      <c r="C880" s="39"/>
      <c r="D880" s="22"/>
    </row>
    <row r="881" spans="2:4" ht="15.75" customHeight="1">
      <c r="B881" s="22"/>
      <c r="C881" s="39"/>
      <c r="D881" s="22"/>
    </row>
    <row r="882" spans="2:4" ht="15.75" customHeight="1">
      <c r="B882" s="22"/>
      <c r="C882" s="39"/>
      <c r="D882" s="22"/>
    </row>
    <row r="883" spans="2:4" ht="15.75" customHeight="1">
      <c r="B883" s="22"/>
      <c r="C883" s="39"/>
      <c r="D883" s="22"/>
    </row>
    <row r="884" spans="2:4" ht="15.75" customHeight="1">
      <c r="B884" s="22"/>
      <c r="C884" s="39"/>
      <c r="D884" s="22"/>
    </row>
    <row r="885" spans="2:4" ht="15.75" customHeight="1">
      <c r="B885" s="22"/>
      <c r="C885" s="39"/>
      <c r="D885" s="22"/>
    </row>
    <row r="886" spans="2:4" ht="15.75" customHeight="1">
      <c r="B886" s="22"/>
      <c r="C886" s="39"/>
      <c r="D886" s="22"/>
    </row>
    <row r="887" spans="2:4" ht="15.75" customHeight="1">
      <c r="B887" s="22"/>
      <c r="C887" s="39"/>
      <c r="D887" s="22"/>
    </row>
    <row r="888" spans="2:4" ht="15.75" customHeight="1">
      <c r="B888" s="22"/>
      <c r="C888" s="39"/>
      <c r="D888" s="22"/>
    </row>
    <row r="889" spans="2:4" ht="15.75" customHeight="1">
      <c r="B889" s="22"/>
      <c r="C889" s="39"/>
      <c r="D889" s="22"/>
    </row>
    <row r="890" spans="2:4" ht="15.75" customHeight="1">
      <c r="B890" s="22"/>
      <c r="C890" s="39"/>
      <c r="D890" s="22"/>
    </row>
    <row r="891" spans="2:4" ht="15.75" customHeight="1">
      <c r="B891" s="22"/>
      <c r="C891" s="39"/>
      <c r="D891" s="22"/>
    </row>
    <row r="892" spans="2:4" ht="15.75" customHeight="1">
      <c r="B892" s="22"/>
      <c r="C892" s="39"/>
      <c r="D892" s="22"/>
    </row>
    <row r="893" spans="2:4" ht="15.75" customHeight="1">
      <c r="B893" s="22"/>
      <c r="C893" s="39"/>
      <c r="D893" s="22"/>
    </row>
    <row r="894" spans="2:4" ht="15.75" customHeight="1">
      <c r="B894" s="22"/>
      <c r="C894" s="39"/>
      <c r="D894" s="22"/>
    </row>
    <row r="895" spans="2:4" ht="15.75" customHeight="1">
      <c r="B895" s="22"/>
      <c r="C895" s="39"/>
      <c r="D895" s="22"/>
    </row>
    <row r="896" spans="2:4" ht="15.75" customHeight="1">
      <c r="B896" s="22"/>
      <c r="C896" s="39"/>
      <c r="D896" s="22"/>
    </row>
    <row r="897" spans="2:4" ht="15.75" customHeight="1">
      <c r="B897" s="22"/>
      <c r="C897" s="39"/>
      <c r="D897" s="22"/>
    </row>
    <row r="898" spans="2:4" ht="15.75" customHeight="1">
      <c r="B898" s="22"/>
      <c r="C898" s="39"/>
      <c r="D898" s="22"/>
    </row>
    <row r="899" spans="2:4" ht="15.75" customHeight="1">
      <c r="B899" s="22"/>
      <c r="C899" s="39"/>
      <c r="D899" s="22"/>
    </row>
    <row r="900" spans="2:4" ht="15.75" customHeight="1">
      <c r="B900" s="22"/>
      <c r="C900" s="39"/>
      <c r="D900" s="22"/>
    </row>
    <row r="901" spans="2:4" ht="15.75" customHeight="1">
      <c r="B901" s="22"/>
      <c r="C901" s="39"/>
      <c r="D901" s="22"/>
    </row>
    <row r="902" spans="2:4" ht="15.75" customHeight="1">
      <c r="B902" s="22"/>
      <c r="C902" s="39"/>
      <c r="D902" s="22"/>
    </row>
    <row r="903" spans="2:4" ht="15.75" customHeight="1">
      <c r="B903" s="22"/>
      <c r="C903" s="39"/>
      <c r="D903" s="22"/>
    </row>
    <row r="904" spans="2:4" ht="15.75" customHeight="1">
      <c r="B904" s="22"/>
      <c r="C904" s="39"/>
      <c r="D904" s="22"/>
    </row>
    <row r="905" spans="2:4" ht="15.75" customHeight="1">
      <c r="B905" s="22"/>
      <c r="C905" s="39"/>
      <c r="D905" s="22"/>
    </row>
    <row r="906" spans="2:4" ht="15.75" customHeight="1">
      <c r="B906" s="22"/>
      <c r="C906" s="39"/>
      <c r="D906" s="22"/>
    </row>
    <row r="907" spans="2:4" ht="15.75" customHeight="1">
      <c r="B907" s="22"/>
      <c r="C907" s="39"/>
      <c r="D907" s="22"/>
    </row>
    <row r="908" spans="2:4" ht="15.75" customHeight="1">
      <c r="B908" s="22"/>
      <c r="C908" s="39"/>
      <c r="D908" s="22"/>
    </row>
    <row r="909" spans="2:4" ht="15.75" customHeight="1">
      <c r="B909" s="22"/>
      <c r="C909" s="39"/>
      <c r="D909" s="22"/>
    </row>
    <row r="910" spans="2:4" ht="15.75" customHeight="1">
      <c r="B910" s="22"/>
      <c r="C910" s="39"/>
      <c r="D910" s="22"/>
    </row>
    <row r="911" spans="2:4" ht="15.75" customHeight="1">
      <c r="B911" s="22"/>
      <c r="C911" s="39"/>
      <c r="D911" s="22"/>
    </row>
    <row r="912" spans="2:4" ht="15.75" customHeight="1">
      <c r="B912" s="22"/>
      <c r="C912" s="39"/>
      <c r="D912" s="22"/>
    </row>
    <row r="913" spans="2:4" ht="15.75" customHeight="1">
      <c r="B913" s="22"/>
      <c r="C913" s="39"/>
      <c r="D913" s="22"/>
    </row>
    <row r="914" spans="2:4" ht="15.75" customHeight="1">
      <c r="B914" s="22"/>
      <c r="C914" s="39"/>
      <c r="D914" s="22"/>
    </row>
    <row r="915" spans="2:4" ht="15.75" customHeight="1">
      <c r="B915" s="22"/>
      <c r="C915" s="39"/>
      <c r="D915" s="22"/>
    </row>
    <row r="916" spans="2:4" ht="15.75" customHeight="1">
      <c r="B916" s="22"/>
      <c r="C916" s="39"/>
      <c r="D916" s="22"/>
    </row>
    <row r="917" spans="2:4" ht="15.75" customHeight="1">
      <c r="B917" s="22"/>
      <c r="C917" s="39"/>
      <c r="D917" s="22"/>
    </row>
    <row r="918" spans="2:4" ht="15.75" customHeight="1">
      <c r="B918" s="22"/>
      <c r="C918" s="39"/>
      <c r="D918" s="22"/>
    </row>
    <row r="919" spans="2:4" ht="15.75" customHeight="1">
      <c r="B919" s="22"/>
      <c r="C919" s="39"/>
      <c r="D919" s="22"/>
    </row>
    <row r="920" spans="2:4" ht="15.75" customHeight="1">
      <c r="B920" s="22"/>
      <c r="C920" s="39"/>
      <c r="D920" s="22"/>
    </row>
    <row r="921" spans="2:4" ht="15.75" customHeight="1">
      <c r="B921" s="22"/>
      <c r="C921" s="39"/>
      <c r="D921" s="22"/>
    </row>
    <row r="922" spans="2:4" ht="15.75" customHeight="1">
      <c r="B922" s="22"/>
      <c r="C922" s="39"/>
      <c r="D922" s="22"/>
    </row>
    <row r="923" spans="2:4" ht="15.75" customHeight="1">
      <c r="B923" s="22"/>
      <c r="C923" s="39"/>
      <c r="D923" s="22"/>
    </row>
    <row r="924" spans="2:4" ht="15.75" customHeight="1">
      <c r="B924" s="22"/>
      <c r="C924" s="39"/>
      <c r="D924" s="22"/>
    </row>
    <row r="925" spans="2:4" ht="15.75" customHeight="1">
      <c r="B925" s="22"/>
      <c r="C925" s="39"/>
      <c r="D925" s="22"/>
    </row>
    <row r="926" spans="2:4" ht="15.75" customHeight="1">
      <c r="B926" s="22"/>
      <c r="C926" s="39"/>
      <c r="D926" s="22"/>
    </row>
    <row r="927" spans="2:4" ht="15.75" customHeight="1">
      <c r="B927" s="22"/>
      <c r="C927" s="39"/>
      <c r="D927" s="22"/>
    </row>
    <row r="928" spans="2:4" ht="15.75" customHeight="1">
      <c r="B928" s="22"/>
      <c r="C928" s="39"/>
      <c r="D928" s="22"/>
    </row>
    <row r="929" spans="2:4" ht="15.75" customHeight="1">
      <c r="B929" s="22"/>
      <c r="C929" s="39"/>
      <c r="D929" s="22"/>
    </row>
    <row r="930" spans="2:4" ht="15.75" customHeight="1">
      <c r="B930" s="22"/>
      <c r="C930" s="39"/>
      <c r="D930" s="22"/>
    </row>
    <row r="931" spans="2:4" ht="15.75" customHeight="1">
      <c r="B931" s="22"/>
      <c r="C931" s="39"/>
      <c r="D931" s="22"/>
    </row>
    <row r="932" spans="2:4" ht="15.75" customHeight="1">
      <c r="B932" s="22"/>
      <c r="C932" s="39"/>
      <c r="D932" s="22"/>
    </row>
    <row r="933" spans="2:4" ht="15.75" customHeight="1">
      <c r="B933" s="22"/>
      <c r="C933" s="39"/>
      <c r="D933" s="22"/>
    </row>
    <row r="934" spans="2:4" ht="15.75" customHeight="1">
      <c r="B934" s="22"/>
      <c r="C934" s="39"/>
      <c r="D934" s="22"/>
    </row>
    <row r="935" spans="2:4" ht="15.75" customHeight="1">
      <c r="B935" s="22"/>
      <c r="C935" s="39"/>
      <c r="D935" s="22"/>
    </row>
    <row r="936" spans="2:4" ht="15.75" customHeight="1">
      <c r="B936" s="22"/>
      <c r="C936" s="39"/>
      <c r="D936" s="22"/>
    </row>
    <row r="937" spans="2:4" ht="15.75" customHeight="1">
      <c r="B937" s="22"/>
      <c r="C937" s="39"/>
      <c r="D937" s="22"/>
    </row>
    <row r="938" spans="2:4" ht="15.75" customHeight="1">
      <c r="B938" s="22"/>
      <c r="C938" s="39"/>
      <c r="D938" s="22"/>
    </row>
    <row r="939" spans="2:4" ht="15.75" customHeight="1">
      <c r="B939" s="22"/>
      <c r="C939" s="39"/>
      <c r="D939" s="22"/>
    </row>
    <row r="940" spans="2:4" ht="15.75" customHeight="1">
      <c r="B940" s="22"/>
      <c r="C940" s="39"/>
      <c r="D940" s="22"/>
    </row>
    <row r="941" spans="2:4" ht="15.75" customHeight="1">
      <c r="B941" s="22"/>
      <c r="C941" s="39"/>
      <c r="D941" s="22"/>
    </row>
    <row r="942" spans="2:4" ht="15.75" customHeight="1">
      <c r="B942" s="22"/>
      <c r="C942" s="39"/>
      <c r="D942" s="22"/>
    </row>
    <row r="943" spans="2:4" ht="15.75" customHeight="1">
      <c r="B943" s="22"/>
      <c r="C943" s="39"/>
      <c r="D943" s="22"/>
    </row>
    <row r="944" spans="2:4" ht="15.75" customHeight="1">
      <c r="B944" s="22"/>
      <c r="C944" s="39"/>
      <c r="D944" s="22"/>
    </row>
    <row r="945" spans="2:4" ht="15.75" customHeight="1">
      <c r="B945" s="22"/>
      <c r="C945" s="39"/>
      <c r="D945" s="22"/>
    </row>
    <row r="946" spans="2:4" ht="15.75" customHeight="1">
      <c r="B946" s="22"/>
      <c r="C946" s="39"/>
      <c r="D946" s="22"/>
    </row>
    <row r="947" spans="2:4" ht="15.75" customHeight="1">
      <c r="B947" s="22"/>
      <c r="C947" s="39"/>
      <c r="D947" s="22"/>
    </row>
    <row r="948" spans="2:4" ht="15.75" customHeight="1">
      <c r="B948" s="22"/>
      <c r="C948" s="39"/>
      <c r="D948" s="22"/>
    </row>
    <row r="949" spans="2:4" ht="15.75" customHeight="1">
      <c r="B949" s="22"/>
      <c r="C949" s="39"/>
      <c r="D949" s="22"/>
    </row>
    <row r="950" spans="2:4" ht="15.75" customHeight="1">
      <c r="B950" s="22"/>
      <c r="C950" s="39"/>
      <c r="D950" s="22"/>
    </row>
    <row r="951" spans="2:4" ht="15.75" customHeight="1">
      <c r="B951" s="22"/>
      <c r="C951" s="39"/>
      <c r="D951" s="22"/>
    </row>
    <row r="952" spans="2:4" ht="15.75" customHeight="1">
      <c r="B952" s="22"/>
      <c r="C952" s="39"/>
      <c r="D952" s="22"/>
    </row>
    <row r="953" spans="2:4" ht="15.75" customHeight="1">
      <c r="B953" s="22"/>
      <c r="C953" s="39"/>
      <c r="D953" s="22"/>
    </row>
    <row r="954" spans="2:4" ht="15.75" customHeight="1">
      <c r="B954" s="22"/>
      <c r="C954" s="39"/>
      <c r="D954" s="22"/>
    </row>
    <row r="955" spans="2:4" ht="15.75" customHeight="1">
      <c r="B955" s="22"/>
      <c r="C955" s="39"/>
      <c r="D955" s="22"/>
    </row>
    <row r="956" spans="2:4" ht="15.75" customHeight="1">
      <c r="B956" s="22"/>
      <c r="C956" s="39"/>
      <c r="D956" s="22"/>
    </row>
    <row r="957" spans="2:4" ht="15.75" customHeight="1">
      <c r="B957" s="22"/>
      <c r="C957" s="39"/>
      <c r="D957" s="22"/>
    </row>
    <row r="958" spans="2:4" ht="15.75" customHeight="1">
      <c r="B958" s="22"/>
      <c r="C958" s="39"/>
      <c r="D958" s="22"/>
    </row>
    <row r="959" spans="2:4" ht="15.75" customHeight="1">
      <c r="B959" s="22"/>
      <c r="C959" s="39"/>
      <c r="D959" s="22"/>
    </row>
    <row r="960" spans="2:4" ht="15.75" customHeight="1">
      <c r="B960" s="22"/>
      <c r="C960" s="39"/>
      <c r="D960" s="22"/>
    </row>
    <row r="961" spans="2:4" ht="15.75" customHeight="1">
      <c r="B961" s="22"/>
      <c r="C961" s="39"/>
      <c r="D961" s="22"/>
    </row>
    <row r="962" spans="2:4" ht="15.75" customHeight="1">
      <c r="B962" s="22"/>
      <c r="C962" s="39"/>
      <c r="D962" s="22"/>
    </row>
    <row r="963" spans="2:4" ht="15.75" customHeight="1">
      <c r="B963" s="22"/>
      <c r="C963" s="39"/>
      <c r="D963" s="22"/>
    </row>
    <row r="964" spans="2:4" ht="15.75" customHeight="1">
      <c r="B964" s="22"/>
      <c r="C964" s="39"/>
      <c r="D964" s="22"/>
    </row>
    <row r="965" spans="2:4" ht="15.75" customHeight="1">
      <c r="B965" s="22"/>
      <c r="C965" s="39"/>
      <c r="D965" s="22"/>
    </row>
    <row r="966" spans="2:4" ht="15.75" customHeight="1">
      <c r="B966" s="22"/>
      <c r="C966" s="39"/>
      <c r="D966" s="22"/>
    </row>
    <row r="967" spans="2:4" ht="15.75" customHeight="1">
      <c r="B967" s="22"/>
      <c r="C967" s="39"/>
      <c r="D967" s="22"/>
    </row>
    <row r="968" spans="2:4" ht="15.75" customHeight="1">
      <c r="B968" s="22"/>
      <c r="C968" s="39"/>
      <c r="D968" s="22"/>
    </row>
    <row r="969" spans="2:4" ht="15.75" customHeight="1">
      <c r="B969" s="22"/>
      <c r="C969" s="39"/>
      <c r="D969" s="22"/>
    </row>
    <row r="970" spans="2:4" ht="15.75" customHeight="1">
      <c r="B970" s="22"/>
      <c r="C970" s="39"/>
      <c r="D970" s="22"/>
    </row>
    <row r="971" spans="2:4" ht="15.75" customHeight="1">
      <c r="B971" s="22"/>
      <c r="C971" s="39"/>
      <c r="D971" s="22"/>
    </row>
    <row r="972" spans="2:4" ht="15.75" customHeight="1">
      <c r="B972" s="22"/>
      <c r="C972" s="39"/>
      <c r="D972" s="22"/>
    </row>
    <row r="973" spans="2:4" ht="15.75" customHeight="1">
      <c r="B973" s="22"/>
      <c r="C973" s="39"/>
      <c r="D973" s="22"/>
    </row>
    <row r="974" spans="2:4" ht="15.75" customHeight="1">
      <c r="B974" s="22"/>
      <c r="C974" s="39"/>
      <c r="D974" s="22"/>
    </row>
    <row r="975" spans="2:4" ht="15.75" customHeight="1">
      <c r="B975" s="22"/>
      <c r="C975" s="39"/>
      <c r="D975" s="22"/>
    </row>
    <row r="976" spans="2:4" ht="15.75" customHeight="1">
      <c r="B976" s="22"/>
      <c r="C976" s="39"/>
      <c r="D976" s="22"/>
    </row>
    <row r="977" spans="2:4" ht="15.75" customHeight="1">
      <c r="B977" s="22"/>
      <c r="C977" s="39"/>
      <c r="D977" s="22"/>
    </row>
    <row r="978" spans="2:4" ht="15.75" customHeight="1">
      <c r="B978" s="22"/>
      <c r="C978" s="39"/>
      <c r="D978" s="22"/>
    </row>
    <row r="979" spans="2:4" ht="15.75" customHeight="1">
      <c r="B979" s="22"/>
      <c r="C979" s="39"/>
      <c r="D979" s="22"/>
    </row>
    <row r="980" spans="2:4" ht="15.75" customHeight="1">
      <c r="B980" s="22"/>
      <c r="C980" s="39"/>
      <c r="D980" s="22"/>
    </row>
    <row r="981" spans="2:4" ht="15.75" customHeight="1">
      <c r="B981" s="22"/>
      <c r="C981" s="39"/>
      <c r="D981" s="22"/>
    </row>
    <row r="982" spans="2:4" ht="15.75" customHeight="1">
      <c r="B982" s="22"/>
      <c r="C982" s="39"/>
      <c r="D982" s="22"/>
    </row>
    <row r="983" spans="2:4" ht="15.75" customHeight="1">
      <c r="B983" s="22"/>
      <c r="C983" s="39"/>
      <c r="D983" s="22"/>
    </row>
    <row r="984" spans="2:4" ht="15.75" customHeight="1">
      <c r="B984" s="22"/>
      <c r="C984" s="39"/>
      <c r="D984" s="22"/>
    </row>
    <row r="985" spans="2:4" ht="15.75" customHeight="1">
      <c r="B985" s="22"/>
      <c r="C985" s="39"/>
      <c r="D985" s="22"/>
    </row>
    <row r="986" spans="2:4" ht="15.75" customHeight="1">
      <c r="B986" s="22"/>
      <c r="C986" s="39"/>
      <c r="D986" s="22"/>
    </row>
    <row r="987" spans="2:4" ht="15.75" customHeight="1">
      <c r="B987" s="22"/>
      <c r="C987" s="39"/>
      <c r="D987" s="22"/>
    </row>
    <row r="988" spans="2:4" ht="15.75" customHeight="1">
      <c r="B988" s="22"/>
      <c r="C988" s="39"/>
      <c r="D988" s="22"/>
    </row>
    <row r="989" spans="2:4" ht="15.75" customHeight="1">
      <c r="B989" s="22"/>
      <c r="C989" s="39"/>
      <c r="D989" s="22"/>
    </row>
    <row r="990" spans="2:4" ht="15.75" customHeight="1">
      <c r="B990" s="22"/>
      <c r="C990" s="39"/>
      <c r="D990" s="22"/>
    </row>
    <row r="991" spans="2:4" ht="15.75" customHeight="1">
      <c r="B991" s="22"/>
      <c r="C991" s="39"/>
      <c r="D991" s="22"/>
    </row>
    <row r="992" spans="2:4" ht="15.75" customHeight="1">
      <c r="B992" s="22"/>
      <c r="C992" s="39"/>
      <c r="D992" s="22"/>
    </row>
    <row r="993" spans="2:4" ht="15.75" customHeight="1">
      <c r="B993" s="22"/>
      <c r="C993" s="39"/>
      <c r="D993" s="22"/>
    </row>
    <row r="994" spans="2:4" ht="15.75" customHeight="1">
      <c r="B994" s="22"/>
      <c r="C994" s="39"/>
      <c r="D994" s="22"/>
    </row>
    <row r="995" spans="2:4" ht="15.75" customHeight="1">
      <c r="B995" s="22"/>
      <c r="C995" s="39"/>
      <c r="D995" s="22"/>
    </row>
    <row r="996" spans="2:4" ht="15.75" customHeight="1">
      <c r="B996" s="22"/>
      <c r="C996" s="39"/>
      <c r="D996" s="22"/>
    </row>
    <row r="997" spans="2:4" ht="15.75" customHeight="1">
      <c r="B997" s="22"/>
      <c r="C997" s="39"/>
      <c r="D997" s="22"/>
    </row>
    <row r="998" spans="2:4" ht="15.75" customHeight="1">
      <c r="B998" s="22"/>
      <c r="C998" s="39"/>
      <c r="D998" s="22"/>
    </row>
    <row r="999" spans="2:4" ht="15.75" customHeight="1">
      <c r="B999" s="22"/>
      <c r="C999" s="39"/>
      <c r="D999" s="22"/>
    </row>
    <row r="1000" spans="2:4" ht="15" customHeight="1">
      <c r="C1000" s="22"/>
    </row>
  </sheetData>
  <mergeCells count="9">
    <mergeCell ref="A1:A2"/>
    <mergeCell ref="D1:L1"/>
    <mergeCell ref="C70:K71"/>
    <mergeCell ref="B1:C1"/>
    <mergeCell ref="F20:G20"/>
    <mergeCell ref="F21:G21"/>
    <mergeCell ref="F22:G22"/>
    <mergeCell ref="F23:G23"/>
    <mergeCell ref="B70:B71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abSelected="1" topLeftCell="A54" workbookViewId="0">
      <selection activeCell="C73" sqref="C73"/>
    </sheetView>
  </sheetViews>
  <sheetFormatPr defaultColWidth="14.42578125" defaultRowHeight="15" customHeight="1"/>
  <cols>
    <col min="1" max="1" width="39.85546875" customWidth="1"/>
    <col min="2" max="2" width="20.85546875" customWidth="1"/>
    <col min="3" max="3" width="16.85546875" customWidth="1"/>
    <col min="4" max="4" width="22" customWidth="1"/>
    <col min="5" max="6" width="18.42578125" customWidth="1"/>
    <col min="7" max="7" width="20.140625" customWidth="1"/>
    <col min="8" max="8" width="18.42578125" customWidth="1"/>
    <col min="9" max="9" width="20.140625" customWidth="1"/>
    <col min="10" max="10" width="18.28515625" customWidth="1"/>
    <col min="11" max="11" width="15.7109375" customWidth="1"/>
    <col min="12" max="12" width="19.28515625" customWidth="1"/>
    <col min="13" max="26" width="8.7109375" customWidth="1"/>
  </cols>
  <sheetData>
    <row r="1" spans="1:13">
      <c r="A1" s="103"/>
      <c r="B1" s="105" t="s">
        <v>1</v>
      </c>
      <c r="C1" s="106"/>
      <c r="D1" s="104" t="s">
        <v>2</v>
      </c>
      <c r="E1" s="116"/>
      <c r="F1" s="116"/>
      <c r="G1" s="116"/>
      <c r="H1" s="116"/>
      <c r="I1" s="116"/>
      <c r="J1" s="116"/>
      <c r="K1" s="116"/>
      <c r="L1" s="117"/>
      <c r="M1" s="22"/>
    </row>
    <row r="2" spans="1:13">
      <c r="A2" s="118"/>
      <c r="B2" s="40">
        <v>1</v>
      </c>
      <c r="C2" s="42">
        <v>2</v>
      </c>
      <c r="D2" s="40">
        <v>3</v>
      </c>
      <c r="E2" s="40">
        <v>4</v>
      </c>
      <c r="F2" s="40">
        <v>5</v>
      </c>
      <c r="G2" s="40">
        <v>6</v>
      </c>
      <c r="H2" s="40">
        <v>7</v>
      </c>
      <c r="I2" s="40">
        <v>8</v>
      </c>
      <c r="J2" s="40">
        <v>9</v>
      </c>
      <c r="K2" s="42">
        <v>10</v>
      </c>
      <c r="L2" s="40">
        <v>11</v>
      </c>
      <c r="M2" s="22"/>
    </row>
    <row r="3" spans="1:13">
      <c r="A3" s="77" t="s">
        <v>3</v>
      </c>
      <c r="B3" s="79">
        <v>-3150000</v>
      </c>
      <c r="C3" s="80">
        <v>0</v>
      </c>
      <c r="D3" s="80">
        <v>0</v>
      </c>
      <c r="E3" s="80">
        <v>-1040000</v>
      </c>
      <c r="F3" s="80">
        <v>-1040000</v>
      </c>
      <c r="G3" s="80">
        <v>-1040000</v>
      </c>
      <c r="H3" s="80">
        <v>-1040000</v>
      </c>
      <c r="I3" s="80">
        <v>-1040000</v>
      </c>
      <c r="J3" s="80">
        <v>0</v>
      </c>
      <c r="K3" s="81">
        <v>0</v>
      </c>
      <c r="L3" s="78">
        <v>2200000</v>
      </c>
      <c r="M3" s="22"/>
    </row>
    <row r="4" spans="1:13">
      <c r="A4" s="23" t="s">
        <v>75</v>
      </c>
      <c r="B4" s="25">
        <f>'P1 FCFF'!B5+'P1 FCFF'!B6</f>
        <v>-3150000</v>
      </c>
      <c r="C4" s="23">
        <v>-5200000</v>
      </c>
      <c r="D4" s="27"/>
      <c r="E4" s="27"/>
      <c r="F4" s="27"/>
      <c r="G4" s="27"/>
      <c r="H4" s="27"/>
      <c r="I4" s="27"/>
      <c r="J4" s="27"/>
      <c r="K4" s="82"/>
      <c r="L4" s="27"/>
      <c r="M4" s="22"/>
    </row>
    <row r="5" spans="1:13">
      <c r="A5" s="71" t="s">
        <v>76</v>
      </c>
      <c r="B5" s="27"/>
      <c r="C5" s="27"/>
      <c r="D5" s="27"/>
      <c r="E5" s="27"/>
      <c r="F5" s="27"/>
      <c r="G5" s="27"/>
      <c r="H5" s="27"/>
      <c r="I5" s="27"/>
      <c r="J5" s="27"/>
      <c r="K5" s="82"/>
      <c r="L5" s="27"/>
      <c r="M5" s="22"/>
    </row>
    <row r="6" spans="1:13">
      <c r="A6" s="71" t="s">
        <v>77</v>
      </c>
      <c r="B6" s="27"/>
      <c r="C6" s="23">
        <v>5200000</v>
      </c>
      <c r="D6" s="27"/>
      <c r="E6" s="27"/>
      <c r="F6" s="27"/>
      <c r="G6" s="27"/>
      <c r="H6" s="27"/>
      <c r="I6" s="27"/>
      <c r="J6" s="27"/>
      <c r="K6" s="82"/>
      <c r="L6" s="27"/>
      <c r="M6" s="22"/>
    </row>
    <row r="7" spans="1:13">
      <c r="A7" s="71" t="s">
        <v>78</v>
      </c>
      <c r="B7" s="27"/>
      <c r="C7" s="27"/>
      <c r="D7" s="27"/>
      <c r="E7" s="10">
        <f>-(C26)</f>
        <v>-1040000</v>
      </c>
      <c r="F7" s="10">
        <f>-(D26)</f>
        <v>-1040000</v>
      </c>
      <c r="G7" s="10">
        <f>-(E26)</f>
        <v>-1040000</v>
      </c>
      <c r="H7" s="10">
        <f>-(F26)</f>
        <v>-1040000</v>
      </c>
      <c r="I7" s="10">
        <f>-(G26)</f>
        <v>-1040000</v>
      </c>
      <c r="J7" s="27"/>
      <c r="K7" s="82"/>
      <c r="L7" s="27"/>
      <c r="M7" s="22"/>
    </row>
    <row r="8" spans="1:13">
      <c r="A8" s="23" t="s">
        <v>8</v>
      </c>
      <c r="B8" s="27"/>
      <c r="C8" s="27"/>
      <c r="D8" s="27"/>
      <c r="E8" s="27"/>
      <c r="F8" s="27"/>
      <c r="G8" s="27"/>
      <c r="H8" s="27"/>
      <c r="I8" s="27"/>
      <c r="J8" s="27"/>
      <c r="K8" s="82"/>
      <c r="L8" s="23">
        <v>2200000</v>
      </c>
      <c r="M8" s="22"/>
    </row>
    <row r="9" spans="1:13">
      <c r="A9" s="73" t="s">
        <v>9</v>
      </c>
      <c r="B9" s="74"/>
      <c r="C9" s="74"/>
      <c r="D9" s="75">
        <f t="shared" ref="D9:L9" si="0">D18+D13</f>
        <v>919000</v>
      </c>
      <c r="E9" s="76">
        <f t="shared" si="0"/>
        <v>868942</v>
      </c>
      <c r="F9" s="76">
        <f t="shared" si="0"/>
        <v>1261810</v>
      </c>
      <c r="G9" s="76">
        <f t="shared" si="0"/>
        <v>1813420</v>
      </c>
      <c r="H9" s="76">
        <f t="shared" si="0"/>
        <v>1939780</v>
      </c>
      <c r="I9" s="76">
        <f t="shared" si="0"/>
        <v>1645148</v>
      </c>
      <c r="J9" s="76">
        <f t="shared" si="0"/>
        <v>1732500</v>
      </c>
      <c r="K9" s="83">
        <f t="shared" si="0"/>
        <v>1732500</v>
      </c>
      <c r="L9" s="76">
        <f t="shared" si="0"/>
        <v>1732500</v>
      </c>
      <c r="M9" s="22"/>
    </row>
    <row r="10" spans="1:13">
      <c r="A10" s="5" t="s">
        <v>10</v>
      </c>
      <c r="B10" s="27"/>
      <c r="C10" s="27"/>
      <c r="D10" s="23">
        <v>3750000</v>
      </c>
      <c r="E10" s="23">
        <v>5625000</v>
      </c>
      <c r="F10" s="23">
        <v>6375000</v>
      </c>
      <c r="G10" s="23">
        <v>7500000</v>
      </c>
      <c r="H10" s="23">
        <v>7500000</v>
      </c>
      <c r="I10" s="23">
        <v>7500000</v>
      </c>
      <c r="J10" s="23">
        <v>7500000</v>
      </c>
      <c r="K10" s="84">
        <v>7500000</v>
      </c>
      <c r="L10" s="23">
        <v>7500000</v>
      </c>
      <c r="M10" s="22"/>
    </row>
    <row r="11" spans="1:13">
      <c r="A11" s="5" t="s">
        <v>11</v>
      </c>
      <c r="B11" s="27"/>
      <c r="C11" s="27"/>
      <c r="D11" s="23">
        <v>-2000000</v>
      </c>
      <c r="E11" s="23">
        <v>-3000000</v>
      </c>
      <c r="F11" s="23">
        <v>-3400000</v>
      </c>
      <c r="G11" s="23">
        <v>-4000000</v>
      </c>
      <c r="H11" s="23">
        <v>-4000000</v>
      </c>
      <c r="I11" s="23">
        <v>-4000000</v>
      </c>
      <c r="J11" s="23">
        <v>-4000000</v>
      </c>
      <c r="K11" s="84">
        <v>-4000000</v>
      </c>
      <c r="L11" s="23">
        <v>-4000000</v>
      </c>
      <c r="M11" s="22"/>
    </row>
    <row r="12" spans="1:13">
      <c r="A12" s="5" t="s">
        <v>12</v>
      </c>
      <c r="B12" s="27"/>
      <c r="C12" s="27"/>
      <c r="D12" s="23">
        <v>-1500000</v>
      </c>
      <c r="E12" s="23">
        <v>-1500000</v>
      </c>
      <c r="F12" s="23">
        <v>-1500000</v>
      </c>
      <c r="G12" s="23">
        <v>-1500000</v>
      </c>
      <c r="H12" s="23">
        <v>-1500000</v>
      </c>
      <c r="I12" s="23">
        <v>-1500000</v>
      </c>
      <c r="J12" s="23">
        <v>-1500000</v>
      </c>
      <c r="K12" s="84">
        <v>-1500000</v>
      </c>
      <c r="L12" s="23">
        <v>-1500000</v>
      </c>
      <c r="M12" s="22"/>
    </row>
    <row r="13" spans="1:13">
      <c r="A13" s="6" t="s">
        <v>13</v>
      </c>
      <c r="B13" s="27"/>
      <c r="C13" s="27"/>
      <c r="D13" s="23">
        <v>716500</v>
      </c>
      <c r="E13" s="23">
        <v>589492</v>
      </c>
      <c r="F13" s="23">
        <v>572500</v>
      </c>
      <c r="G13" s="23">
        <v>572500</v>
      </c>
      <c r="H13" s="23">
        <v>572500</v>
      </c>
      <c r="I13" s="23">
        <v>151508</v>
      </c>
      <c r="J13" s="23">
        <v>112500</v>
      </c>
      <c r="K13" s="84">
        <v>112500</v>
      </c>
      <c r="L13" s="23">
        <v>112500</v>
      </c>
      <c r="M13" s="22"/>
    </row>
    <row r="14" spans="1:13">
      <c r="A14" s="5" t="s">
        <v>79</v>
      </c>
      <c r="B14" s="27"/>
      <c r="C14" s="27"/>
      <c r="D14" s="23">
        <v>250000</v>
      </c>
      <c r="E14" s="23">
        <v>1125000</v>
      </c>
      <c r="F14" s="23">
        <v>1475000</v>
      </c>
      <c r="G14" s="23">
        <v>2000000</v>
      </c>
      <c r="H14" s="23">
        <v>2000000</v>
      </c>
      <c r="I14" s="23">
        <v>2000000</v>
      </c>
      <c r="J14" s="23">
        <v>2000000</v>
      </c>
      <c r="K14" s="84">
        <v>2000000</v>
      </c>
      <c r="L14" s="23">
        <v>2000000</v>
      </c>
      <c r="M14" s="22"/>
    </row>
    <row r="15" spans="1:13">
      <c r="A15" s="5" t="s">
        <v>80</v>
      </c>
      <c r="B15" s="27"/>
      <c r="C15" s="27"/>
      <c r="D15" s="27"/>
      <c r="E15" s="10">
        <f>-(C27)</f>
        <v>-780000</v>
      </c>
      <c r="F15" s="10">
        <f>-(D27)</f>
        <v>-624000</v>
      </c>
      <c r="G15" s="10">
        <f>-(E27)</f>
        <v>-468000</v>
      </c>
      <c r="H15" s="10">
        <f>-(F27)</f>
        <v>-312000</v>
      </c>
      <c r="I15" s="10">
        <f>-(G27)</f>
        <v>-156000</v>
      </c>
      <c r="J15" s="10">
        <f t="shared" ref="J15:L15" si="1">-(J27)</f>
        <v>0</v>
      </c>
      <c r="K15" s="68">
        <f t="shared" si="1"/>
        <v>0</v>
      </c>
      <c r="L15" s="10">
        <f t="shared" si="1"/>
        <v>0</v>
      </c>
      <c r="M15" s="22"/>
    </row>
    <row r="16" spans="1:13">
      <c r="A16" s="5" t="s">
        <v>81</v>
      </c>
      <c r="B16" s="27"/>
      <c r="C16" s="27"/>
      <c r="D16" s="23">
        <f t="shared" ref="D16:L16" si="2">D14+D15</f>
        <v>250000</v>
      </c>
      <c r="E16" s="72">
        <f t="shared" si="2"/>
        <v>345000</v>
      </c>
      <c r="F16" s="72">
        <f t="shared" si="2"/>
        <v>851000</v>
      </c>
      <c r="G16" s="72">
        <f t="shared" si="2"/>
        <v>1532000</v>
      </c>
      <c r="H16" s="72">
        <f t="shared" si="2"/>
        <v>1688000</v>
      </c>
      <c r="I16" s="72">
        <f t="shared" si="2"/>
        <v>1844000</v>
      </c>
      <c r="J16" s="72">
        <f t="shared" si="2"/>
        <v>2000000</v>
      </c>
      <c r="K16" s="85">
        <f t="shared" si="2"/>
        <v>2000000</v>
      </c>
      <c r="L16" s="72">
        <f t="shared" si="2"/>
        <v>2000000</v>
      </c>
      <c r="M16" s="22"/>
    </row>
    <row r="17" spans="1:13">
      <c r="A17" s="5" t="s">
        <v>82</v>
      </c>
      <c r="B17" s="27"/>
      <c r="C17" s="27"/>
      <c r="D17" s="23">
        <f t="shared" ref="D17:L17" si="3">D16*19%</f>
        <v>47500</v>
      </c>
      <c r="E17" s="23">
        <f t="shared" si="3"/>
        <v>65550</v>
      </c>
      <c r="F17" s="23">
        <f t="shared" si="3"/>
        <v>161690</v>
      </c>
      <c r="G17" s="23">
        <f t="shared" si="3"/>
        <v>291080</v>
      </c>
      <c r="H17" s="23">
        <f t="shared" si="3"/>
        <v>320720</v>
      </c>
      <c r="I17" s="23">
        <f t="shared" si="3"/>
        <v>350360</v>
      </c>
      <c r="J17" s="23">
        <f t="shared" si="3"/>
        <v>380000</v>
      </c>
      <c r="K17" s="84">
        <f t="shared" si="3"/>
        <v>380000</v>
      </c>
      <c r="L17" s="23">
        <f t="shared" si="3"/>
        <v>380000</v>
      </c>
      <c r="M17" s="22"/>
    </row>
    <row r="18" spans="1:13">
      <c r="A18" s="5" t="s">
        <v>83</v>
      </c>
      <c r="B18" s="27"/>
      <c r="C18" s="27"/>
      <c r="D18" s="23">
        <f t="shared" ref="D18:L18" si="4">D16-D17</f>
        <v>202500</v>
      </c>
      <c r="E18" s="72">
        <f t="shared" si="4"/>
        <v>279450</v>
      </c>
      <c r="F18" s="72">
        <f t="shared" si="4"/>
        <v>689310</v>
      </c>
      <c r="G18" s="72">
        <f t="shared" si="4"/>
        <v>1240920</v>
      </c>
      <c r="H18" s="72">
        <f t="shared" si="4"/>
        <v>1367280</v>
      </c>
      <c r="I18" s="72">
        <f t="shared" si="4"/>
        <v>1493640</v>
      </c>
      <c r="J18" s="72">
        <f t="shared" si="4"/>
        <v>1620000</v>
      </c>
      <c r="K18" s="85">
        <f t="shared" si="4"/>
        <v>1620000</v>
      </c>
      <c r="L18" s="72">
        <f t="shared" si="4"/>
        <v>1620000</v>
      </c>
      <c r="M18" s="22"/>
    </row>
    <row r="19" spans="1:13">
      <c r="A19" s="91" t="s">
        <v>17</v>
      </c>
      <c r="B19" s="92">
        <f t="shared" ref="B19:L19" si="5">B3+B9</f>
        <v>-3150000</v>
      </c>
      <c r="C19" s="92">
        <f t="shared" si="5"/>
        <v>0</v>
      </c>
      <c r="D19" s="92">
        <f t="shared" si="5"/>
        <v>919000</v>
      </c>
      <c r="E19" s="92">
        <f t="shared" si="5"/>
        <v>-171058</v>
      </c>
      <c r="F19" s="92">
        <f t="shared" si="5"/>
        <v>221810</v>
      </c>
      <c r="G19" s="92">
        <f t="shared" si="5"/>
        <v>773420</v>
      </c>
      <c r="H19" s="92">
        <f t="shared" si="5"/>
        <v>899780</v>
      </c>
      <c r="I19" s="92">
        <f t="shared" si="5"/>
        <v>605148</v>
      </c>
      <c r="J19" s="92">
        <f t="shared" si="5"/>
        <v>1732500</v>
      </c>
      <c r="K19" s="93">
        <f t="shared" si="5"/>
        <v>1732500</v>
      </c>
      <c r="L19" s="92">
        <f t="shared" si="5"/>
        <v>3932500</v>
      </c>
      <c r="M19" s="22"/>
    </row>
    <row r="20" spans="1:13" ht="1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1:13" ht="15.75" customHeight="1"/>
    <row r="22" spans="1:13" ht="15.75" customHeight="1">
      <c r="A22" s="2" t="s">
        <v>84</v>
      </c>
      <c r="D22" s="22"/>
      <c r="E22" s="22"/>
      <c r="F22" s="22"/>
      <c r="G22" s="22"/>
      <c r="H22" s="22"/>
      <c r="I22" s="22"/>
    </row>
    <row r="23" spans="1:13" ht="15.75" customHeight="1">
      <c r="B23" s="9" t="s">
        <v>84</v>
      </c>
      <c r="C23" s="45">
        <v>1</v>
      </c>
      <c r="D23" s="45">
        <v>2</v>
      </c>
      <c r="E23" s="45">
        <v>3</v>
      </c>
      <c r="F23" s="45">
        <v>4</v>
      </c>
      <c r="G23" s="45">
        <v>5</v>
      </c>
      <c r="J23" s="22"/>
    </row>
    <row r="24" spans="1:13" ht="15.75" customHeight="1">
      <c r="B24" s="9" t="s">
        <v>85</v>
      </c>
      <c r="C24" s="10">
        <f>C6</f>
        <v>5200000</v>
      </c>
      <c r="D24" s="10">
        <f t="shared" ref="D24:G24" si="6">C28</f>
        <v>4160000</v>
      </c>
      <c r="E24" s="10">
        <f t="shared" si="6"/>
        <v>3120000</v>
      </c>
      <c r="F24" s="10">
        <f t="shared" si="6"/>
        <v>2080000</v>
      </c>
      <c r="G24" s="10">
        <f t="shared" si="6"/>
        <v>1040000</v>
      </c>
      <c r="J24" s="22"/>
    </row>
    <row r="25" spans="1:13" ht="15.75" customHeight="1">
      <c r="B25" s="9" t="s">
        <v>86</v>
      </c>
      <c r="C25" s="10">
        <f t="shared" ref="C25:G25" si="7">SUM(C26:C27)</f>
        <v>1820000</v>
      </c>
      <c r="D25" s="10">
        <f t="shared" si="7"/>
        <v>1664000</v>
      </c>
      <c r="E25" s="10">
        <f t="shared" si="7"/>
        <v>1508000</v>
      </c>
      <c r="F25" s="10">
        <f t="shared" si="7"/>
        <v>1352000</v>
      </c>
      <c r="G25" s="10">
        <f t="shared" si="7"/>
        <v>1196000</v>
      </c>
      <c r="J25" s="22"/>
    </row>
    <row r="26" spans="1:13" ht="15.75" customHeight="1">
      <c r="B26" s="9" t="s">
        <v>87</v>
      </c>
      <c r="C26" s="10">
        <f>$C$24/5</f>
        <v>1040000</v>
      </c>
      <c r="D26" s="10">
        <f>$C$24/5</f>
        <v>1040000</v>
      </c>
      <c r="E26" s="10">
        <f>$C$24/5</f>
        <v>1040000</v>
      </c>
      <c r="F26" s="10">
        <f>$C$24/5</f>
        <v>1040000</v>
      </c>
      <c r="G26" s="10">
        <f>$C$24/5</f>
        <v>1040000</v>
      </c>
      <c r="J26" s="22"/>
    </row>
    <row r="27" spans="1:13" ht="15.75" customHeight="1">
      <c r="B27" s="9" t="s">
        <v>88</v>
      </c>
      <c r="C27" s="10">
        <f t="shared" ref="C27:G27" si="8">C24*15%</f>
        <v>780000</v>
      </c>
      <c r="D27" s="10">
        <f t="shared" si="8"/>
        <v>624000</v>
      </c>
      <c r="E27" s="10">
        <f t="shared" si="8"/>
        <v>468000</v>
      </c>
      <c r="F27" s="10">
        <f t="shared" si="8"/>
        <v>312000</v>
      </c>
      <c r="G27" s="10">
        <f t="shared" si="8"/>
        <v>156000</v>
      </c>
      <c r="J27" s="22"/>
    </row>
    <row r="28" spans="1:13" ht="15.75" customHeight="1">
      <c r="B28" s="9" t="s">
        <v>89</v>
      </c>
      <c r="C28" s="10">
        <f t="shared" ref="C28:G28" si="9">C24-C26</f>
        <v>4160000</v>
      </c>
      <c r="D28" s="10">
        <f t="shared" si="9"/>
        <v>3120000</v>
      </c>
      <c r="E28" s="10">
        <f t="shared" si="9"/>
        <v>2080000</v>
      </c>
      <c r="F28" s="10">
        <f t="shared" si="9"/>
        <v>1040000</v>
      </c>
      <c r="G28" s="10">
        <f t="shared" si="9"/>
        <v>0</v>
      </c>
      <c r="J28" s="22"/>
    </row>
    <row r="29" spans="1:13" ht="15.75" customHeight="1">
      <c r="B29" s="22"/>
      <c r="D29" s="22"/>
      <c r="E29" s="22"/>
      <c r="F29" s="22"/>
      <c r="G29" s="22"/>
      <c r="H29" s="22"/>
      <c r="I29" s="22"/>
    </row>
    <row r="30" spans="1:13" ht="15.75" customHeight="1">
      <c r="A30" s="22"/>
      <c r="B30" s="94" t="s">
        <v>90</v>
      </c>
      <c r="C30" s="22"/>
    </row>
    <row r="31" spans="1:13" ht="15.75" customHeight="1">
      <c r="A31" s="21"/>
      <c r="B31" s="95">
        <v>0.13339999999999999</v>
      </c>
      <c r="C31" s="22"/>
    </row>
    <row r="32" spans="1:13" ht="15.75" customHeight="1">
      <c r="B32" s="22"/>
    </row>
    <row r="33" spans="1:5" ht="15.75" customHeight="1"/>
    <row r="34" spans="1:5" ht="15.75" customHeight="1"/>
    <row r="35" spans="1:5" ht="15.75" customHeight="1">
      <c r="A35" s="2" t="s">
        <v>91</v>
      </c>
    </row>
    <row r="36" spans="1:5" ht="15.75" customHeight="1">
      <c r="B36" s="48" t="s">
        <v>29</v>
      </c>
      <c r="C36" s="48" t="s">
        <v>17</v>
      </c>
      <c r="D36" s="48" t="s">
        <v>46</v>
      </c>
    </row>
    <row r="37" spans="1:5" ht="15.75" customHeight="1">
      <c r="B37" s="45">
        <v>1</v>
      </c>
      <c r="C37" s="10">
        <v>-3150000</v>
      </c>
      <c r="D37" s="10">
        <f>C37</f>
        <v>-3150000</v>
      </c>
    </row>
    <row r="38" spans="1:5" ht="15.75" customHeight="1">
      <c r="A38" s="22"/>
      <c r="B38" s="45">
        <v>2</v>
      </c>
      <c r="C38" s="10">
        <v>0</v>
      </c>
      <c r="D38" s="10">
        <f t="shared" ref="D38:D47" si="10">D37+C38</f>
        <v>-3150000</v>
      </c>
      <c r="E38" s="22"/>
    </row>
    <row r="39" spans="1:5" ht="15.75" customHeight="1">
      <c r="A39" s="22"/>
      <c r="B39" s="45">
        <v>3</v>
      </c>
      <c r="C39" s="10">
        <v>919000</v>
      </c>
      <c r="D39" s="10">
        <f t="shared" si="10"/>
        <v>-2231000</v>
      </c>
      <c r="E39" s="22"/>
    </row>
    <row r="40" spans="1:5" ht="15.75" customHeight="1">
      <c r="A40" s="22"/>
      <c r="B40" s="45">
        <v>4</v>
      </c>
      <c r="C40" s="10">
        <v>-171058</v>
      </c>
      <c r="D40" s="10">
        <f t="shared" si="10"/>
        <v>-2402058</v>
      </c>
      <c r="E40" s="22"/>
    </row>
    <row r="41" spans="1:5" ht="15.75" customHeight="1">
      <c r="A41" s="22"/>
      <c r="B41" s="45">
        <v>5</v>
      </c>
      <c r="C41" s="10">
        <v>221810</v>
      </c>
      <c r="D41" s="10">
        <f t="shared" si="10"/>
        <v>-2180248</v>
      </c>
      <c r="E41" s="22"/>
    </row>
    <row r="42" spans="1:5" ht="15.75" customHeight="1">
      <c r="A42" s="22"/>
      <c r="B42" s="45">
        <v>6</v>
      </c>
      <c r="C42" s="10">
        <v>773420</v>
      </c>
      <c r="D42" s="10">
        <f t="shared" si="10"/>
        <v>-1406828</v>
      </c>
      <c r="E42" s="22"/>
    </row>
    <row r="43" spans="1:5" ht="15.75" customHeight="1">
      <c r="A43" s="22"/>
      <c r="B43" s="45">
        <v>7</v>
      </c>
      <c r="C43" s="10">
        <v>899780</v>
      </c>
      <c r="D43" s="10">
        <f t="shared" si="10"/>
        <v>-507048</v>
      </c>
      <c r="E43" s="22"/>
    </row>
    <row r="44" spans="1:5" ht="15.75" customHeight="1">
      <c r="A44" s="22"/>
      <c r="B44" s="45">
        <v>8</v>
      </c>
      <c r="C44" s="10">
        <v>605148</v>
      </c>
      <c r="D44" s="10">
        <f t="shared" si="10"/>
        <v>98100</v>
      </c>
      <c r="E44" s="22"/>
    </row>
    <row r="45" spans="1:5" ht="15.75" customHeight="1">
      <c r="A45" s="22"/>
      <c r="B45" s="45">
        <v>9</v>
      </c>
      <c r="C45" s="10">
        <v>1732500</v>
      </c>
      <c r="D45" s="10">
        <f t="shared" si="10"/>
        <v>1830600</v>
      </c>
      <c r="E45" s="22"/>
    </row>
    <row r="46" spans="1:5" ht="15.75" customHeight="1">
      <c r="A46" s="22"/>
      <c r="B46" s="45">
        <v>10</v>
      </c>
      <c r="C46" s="23">
        <v>1732500</v>
      </c>
      <c r="D46" s="10">
        <f t="shared" si="10"/>
        <v>3563100</v>
      </c>
      <c r="E46" s="22"/>
    </row>
    <row r="47" spans="1:5" ht="15.75" customHeight="1">
      <c r="A47" s="22"/>
      <c r="B47" s="45">
        <v>11</v>
      </c>
      <c r="C47" s="23">
        <v>3932500</v>
      </c>
      <c r="D47" s="10">
        <f t="shared" si="10"/>
        <v>7495600</v>
      </c>
      <c r="E47" s="22"/>
    </row>
    <row r="48" spans="1:5" ht="15.75" customHeight="1">
      <c r="A48" s="22"/>
      <c r="E48" s="22"/>
    </row>
    <row r="49" spans="1:13" ht="15.75" customHeight="1">
      <c r="A49" s="22"/>
      <c r="B49" s="107" t="s">
        <v>57</v>
      </c>
      <c r="C49" s="108" t="s">
        <v>92</v>
      </c>
      <c r="D49" s="108"/>
      <c r="E49" s="108"/>
      <c r="F49" s="108"/>
      <c r="G49" s="108"/>
      <c r="H49" s="108"/>
      <c r="I49" s="108"/>
    </row>
    <row r="50" spans="1:13" ht="15.75" customHeight="1">
      <c r="B50" s="107"/>
      <c r="C50" s="108"/>
      <c r="D50" s="108"/>
      <c r="E50" s="108"/>
      <c r="F50" s="108"/>
      <c r="G50" s="108"/>
      <c r="H50" s="108"/>
      <c r="I50" s="108"/>
    </row>
    <row r="51" spans="1:13" ht="15.75" customHeight="1"/>
    <row r="52" spans="1:13" ht="15.75" customHeight="1">
      <c r="B52" s="98" t="s">
        <v>47</v>
      </c>
      <c r="C52" s="98" t="s">
        <v>93</v>
      </c>
      <c r="D52" s="65"/>
      <c r="E52" s="110" t="s">
        <v>94</v>
      </c>
      <c r="F52" s="110"/>
    </row>
    <row r="53" spans="1:13" ht="15.75" customHeight="1">
      <c r="B53" s="98" t="s">
        <v>49</v>
      </c>
      <c r="C53" s="102">
        <f>-D43/C44*12</f>
        <v>10.054690753336374</v>
      </c>
      <c r="D53" s="65"/>
      <c r="E53" s="110" t="s">
        <v>95</v>
      </c>
      <c r="F53" s="110"/>
    </row>
    <row r="54" spans="1:13" ht="15.75" customHeight="1"/>
    <row r="55" spans="1:13" ht="15.75" customHeight="1"/>
    <row r="56" spans="1:13" ht="15.75" customHeight="1">
      <c r="A56" s="2" t="s">
        <v>52</v>
      </c>
    </row>
    <row r="57" spans="1:13" ht="15.75" customHeight="1">
      <c r="B57" s="9" t="s">
        <v>29</v>
      </c>
      <c r="C57" s="23">
        <v>1</v>
      </c>
      <c r="D57" s="23">
        <v>2</v>
      </c>
      <c r="E57" s="23">
        <v>3</v>
      </c>
      <c r="F57" s="23">
        <v>4</v>
      </c>
      <c r="G57" s="23">
        <v>5</v>
      </c>
      <c r="H57" s="23">
        <v>6</v>
      </c>
      <c r="I57" s="23">
        <v>7</v>
      </c>
      <c r="J57" s="23">
        <v>8</v>
      </c>
      <c r="K57" s="23">
        <v>9</v>
      </c>
      <c r="L57" s="21">
        <v>10</v>
      </c>
      <c r="M57" s="1">
        <v>11</v>
      </c>
    </row>
    <row r="58" spans="1:13" ht="15.75" customHeight="1">
      <c r="B58" s="9" t="s">
        <v>17</v>
      </c>
      <c r="C58" s="23">
        <v>-3150000</v>
      </c>
      <c r="D58" s="23">
        <v>0</v>
      </c>
      <c r="E58" s="23">
        <v>919000</v>
      </c>
      <c r="F58" s="23">
        <v>-171058</v>
      </c>
      <c r="G58" s="23">
        <v>221810</v>
      </c>
      <c r="H58" s="23">
        <v>773420</v>
      </c>
      <c r="I58" s="23">
        <v>899780</v>
      </c>
      <c r="J58" s="23">
        <v>605148</v>
      </c>
      <c r="K58" s="23">
        <v>1732500</v>
      </c>
      <c r="L58" s="21">
        <v>1732500</v>
      </c>
      <c r="M58" s="1">
        <v>3932500</v>
      </c>
    </row>
    <row r="59" spans="1:13" ht="15.75" customHeight="1">
      <c r="A59" s="22"/>
      <c r="B59" s="9" t="s">
        <v>53</v>
      </c>
      <c r="C59" s="86">
        <f t="shared" ref="C59:M59" si="11">1/(1+$B$31)^C57</f>
        <v>0.88230104111522856</v>
      </c>
      <c r="D59" s="86">
        <f t="shared" si="11"/>
        <v>0.77845512715301624</v>
      </c>
      <c r="E59" s="86">
        <f t="shared" si="11"/>
        <v>0.6868317691485939</v>
      </c>
      <c r="F59" s="86">
        <f t="shared" si="11"/>
        <v>0.60599238499081876</v>
      </c>
      <c r="G59" s="86">
        <f t="shared" si="11"/>
        <v>0.53466771218529974</v>
      </c>
      <c r="H59" s="86">
        <f t="shared" si="11"/>
        <v>0.47173787911178733</v>
      </c>
      <c r="I59" s="86">
        <f t="shared" si="11"/>
        <v>0.41621482187381986</v>
      </c>
      <c r="J59" s="86">
        <f t="shared" si="11"/>
        <v>0.3672267706668606</v>
      </c>
      <c r="K59" s="86">
        <f t="shared" si="11"/>
        <v>0.32400456208475442</v>
      </c>
      <c r="L59" s="87">
        <f t="shared" si="11"/>
        <v>0.28586956245346251</v>
      </c>
      <c r="M59" s="15">
        <f t="shared" si="11"/>
        <v>0.25222301257584484</v>
      </c>
    </row>
    <row r="60" spans="1:13" ht="15.75" customHeight="1">
      <c r="A60" s="22"/>
      <c r="B60" s="89" t="s">
        <v>54</v>
      </c>
      <c r="C60" s="90">
        <f t="shared" ref="C60:M60" si="12">C58*C59</f>
        <v>-2779248.2795129698</v>
      </c>
      <c r="D60" s="23">
        <f t="shared" si="12"/>
        <v>0</v>
      </c>
      <c r="E60" s="23">
        <f t="shared" si="12"/>
        <v>631198.39584755781</v>
      </c>
      <c r="F60" s="23">
        <f t="shared" si="12"/>
        <v>-103659.84539175947</v>
      </c>
      <c r="G60" s="23">
        <f t="shared" si="12"/>
        <v>118594.64523982133</v>
      </c>
      <c r="H60" s="23">
        <f t="shared" si="12"/>
        <v>364851.51046263857</v>
      </c>
      <c r="I60" s="23">
        <f t="shared" si="12"/>
        <v>374501.77242562565</v>
      </c>
      <c r="J60" s="23">
        <f t="shared" si="12"/>
        <v>222226.54581550937</v>
      </c>
      <c r="K60" s="23">
        <f t="shared" si="12"/>
        <v>561337.90381183708</v>
      </c>
      <c r="L60" s="21">
        <f t="shared" si="12"/>
        <v>495269.01695062377</v>
      </c>
      <c r="M60" s="1">
        <f t="shared" si="12"/>
        <v>991866.99695450987</v>
      </c>
    </row>
    <row r="61" spans="1:13" ht="15.75" customHeight="1">
      <c r="A61" s="22"/>
      <c r="B61" s="47" t="s">
        <v>55</v>
      </c>
      <c r="C61" s="64">
        <f>SUM(C60:M60)</f>
        <v>876938.6626033939</v>
      </c>
      <c r="D61" s="22"/>
      <c r="E61" s="22"/>
      <c r="F61" s="22"/>
      <c r="G61" s="22"/>
      <c r="H61" s="22"/>
      <c r="I61" s="22"/>
      <c r="J61" s="22"/>
      <c r="K61" s="22"/>
    </row>
    <row r="62" spans="1:13" ht="15.75" customHeight="1">
      <c r="A62" s="22"/>
      <c r="B62" s="5" t="s">
        <v>56</v>
      </c>
      <c r="C62" s="88">
        <f>NPV(B31,C58:M58)</f>
        <v>876938.66260339355</v>
      </c>
      <c r="D62" s="22"/>
    </row>
    <row r="63" spans="1:13" ht="15.75" customHeight="1">
      <c r="A63" s="22"/>
    </row>
    <row r="64" spans="1:13" ht="15.75" customHeight="1">
      <c r="A64" s="22"/>
      <c r="B64" s="107" t="s">
        <v>57</v>
      </c>
      <c r="C64" s="109" t="s">
        <v>96</v>
      </c>
      <c r="D64" s="109"/>
      <c r="E64" s="109"/>
      <c r="F64" s="109"/>
      <c r="G64" s="109"/>
      <c r="H64" s="109"/>
      <c r="I64" s="109"/>
    </row>
    <row r="65" spans="1:9" ht="15.75" customHeight="1">
      <c r="B65" s="107"/>
      <c r="C65" s="109"/>
      <c r="D65" s="109"/>
      <c r="E65" s="109"/>
      <c r="F65" s="109"/>
      <c r="G65" s="109"/>
      <c r="H65" s="109"/>
      <c r="I65" s="109"/>
    </row>
    <row r="66" spans="1:9" ht="15.75" customHeight="1"/>
    <row r="67" spans="1:9" ht="15.75" customHeight="1"/>
    <row r="68" spans="1:9" ht="15.75" customHeight="1">
      <c r="B68" s="1"/>
    </row>
    <row r="69" spans="1:9" ht="15.75" customHeight="1">
      <c r="A69" s="2" t="s">
        <v>97</v>
      </c>
      <c r="B69" s="1"/>
    </row>
    <row r="70" spans="1:9" ht="15.75" customHeight="1">
      <c r="B70" s="1"/>
    </row>
    <row r="71" spans="1:9" ht="15.75" customHeight="1"/>
    <row r="72" spans="1:9" ht="15.75" customHeight="1">
      <c r="A72" s="2" t="s">
        <v>69</v>
      </c>
    </row>
    <row r="73" spans="1:9" ht="15.75" customHeight="1">
      <c r="B73" s="65" t="s">
        <v>98</v>
      </c>
      <c r="C73" s="97">
        <f>(1+B31)*((SUM(D60:M61)/-SUM(C60:D60))^(1/11))-1</f>
        <v>0.16201190176405977</v>
      </c>
    </row>
    <row r="74" spans="1:9" ht="15.75" customHeight="1">
      <c r="B74" s="98" t="s">
        <v>99</v>
      </c>
      <c r="C74" s="97">
        <f>MIRR(C58:M58,B31,B31)</f>
        <v>0.16390395216590314</v>
      </c>
    </row>
    <row r="75" spans="1:9" ht="15.75" customHeight="1"/>
    <row r="76" spans="1:9" ht="15.75" customHeight="1">
      <c r="B76" s="56" t="s">
        <v>57</v>
      </c>
      <c r="C76" s="96" t="s">
        <v>100</v>
      </c>
      <c r="D76" s="55"/>
      <c r="E76" s="55"/>
      <c r="F76" s="55"/>
    </row>
    <row r="77" spans="1:9" ht="15.75" customHeight="1"/>
    <row r="78" spans="1:9" ht="15.75" customHeight="1"/>
    <row r="79" spans="1:9" ht="15.75" customHeight="1">
      <c r="A79" s="2" t="s">
        <v>73</v>
      </c>
      <c r="B79" s="97">
        <f>C73-B31</f>
        <v>2.8611901764059783E-2</v>
      </c>
    </row>
    <row r="80" spans="1:9" ht="15.75" customHeight="1"/>
    <row r="81" spans="1:6" ht="15.75" customHeight="1">
      <c r="B81" s="56" t="s">
        <v>57</v>
      </c>
      <c r="C81" s="55" t="s">
        <v>101</v>
      </c>
      <c r="D81" s="55"/>
    </row>
    <row r="82" spans="1:6" ht="15.75" customHeight="1"/>
    <row r="83" spans="1:6" ht="15.75" customHeight="1"/>
    <row r="84" spans="1:6" ht="15.75" customHeight="1">
      <c r="A84" s="100" t="s">
        <v>102</v>
      </c>
      <c r="B84" s="109" t="s">
        <v>103</v>
      </c>
      <c r="C84" s="109"/>
      <c r="D84" s="109"/>
      <c r="E84" s="109"/>
      <c r="F84" s="109"/>
    </row>
    <row r="85" spans="1:6" ht="15.75" customHeight="1">
      <c r="B85" s="109"/>
      <c r="C85" s="109"/>
      <c r="D85" s="109"/>
      <c r="E85" s="109"/>
      <c r="F85" s="109"/>
    </row>
    <row r="86" spans="1:6" ht="15.75" customHeight="1">
      <c r="B86" s="109"/>
      <c r="C86" s="109"/>
      <c r="D86" s="109"/>
      <c r="E86" s="109"/>
      <c r="F86" s="109"/>
    </row>
    <row r="87" spans="1:6" ht="15.75" customHeight="1"/>
    <row r="88" spans="1:6" ht="15.75" customHeight="1"/>
    <row r="89" spans="1:6" ht="15.75" customHeight="1"/>
    <row r="90" spans="1:6" ht="15.75" customHeight="1"/>
    <row r="91" spans="1:6" ht="15.75" customHeight="1"/>
    <row r="92" spans="1:6" ht="15.75" customHeight="1"/>
    <row r="93" spans="1:6" ht="15.75" customHeight="1"/>
    <row r="94" spans="1:6" ht="15.75" customHeight="1"/>
    <row r="95" spans="1:6" ht="15.75" customHeight="1"/>
    <row r="96" spans="1: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84:F86"/>
    <mergeCell ref="E52:F52"/>
    <mergeCell ref="E53:F53"/>
    <mergeCell ref="C64:I65"/>
    <mergeCell ref="B64:B65"/>
    <mergeCell ref="A1:A2"/>
    <mergeCell ref="D1:L1"/>
    <mergeCell ref="B1:C1"/>
    <mergeCell ref="B49:B50"/>
    <mergeCell ref="C49:I5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2026-01-09T21:46:53Z</dcterms:created>
  <dcterms:modified xsi:type="dcterms:W3CDTF">2026-04-23T19:44:49Z</dcterms:modified>
  <cp:category/>
  <cp:contentStatus/>
</cp:coreProperties>
</file>